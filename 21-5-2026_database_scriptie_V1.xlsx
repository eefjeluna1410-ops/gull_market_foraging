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uni-my.sharepoint.com/personal/eefje_de_groot_student_uva_nl/Documents/Documenten/fps jaar 3/Scriptie eindproduct/"/>
    </mc:Choice>
  </mc:AlternateContent>
  <xr:revisionPtr revIDLastSave="506" documentId="14_{AA1ABCC8-771A-46EB-8952-2D8B41883873}" xr6:coauthVersionLast="47" xr6:coauthVersionMax="47" xr10:uidLastSave="{FC5BDE71-FFE3-4B05-828A-CA13986A605D}"/>
  <bookViews>
    <workbookView xWindow="-10425" yWindow="-16320" windowWidth="29040" windowHeight="15720" xr2:uid="{E36CE06F-6144-4732-91D7-3F29C6D4E67B}"/>
  </bookViews>
  <sheets>
    <sheet name="Markets" sheetId="1" r:id="rId1"/>
    <sheet name="Visits" sheetId="2" r:id="rId2"/>
    <sheet name="Individuals" sheetId="3" r:id="rId3"/>
    <sheet name="Sunday_activities" sheetId="12" r:id="rId4"/>
    <sheet name="gull_market_count_analyse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" i="2" l="1"/>
  <c r="H99" i="2"/>
  <c r="F100" i="2"/>
  <c r="H100" i="2"/>
  <c r="F156" i="2"/>
  <c r="F157" i="2"/>
  <c r="F158" i="2"/>
  <c r="F159" i="2"/>
  <c r="F160" i="2"/>
  <c r="H156" i="2"/>
  <c r="H157" i="2"/>
  <c r="H158" i="2"/>
  <c r="H159" i="2"/>
  <c r="H160" i="2"/>
  <c r="F147" i="2"/>
  <c r="H147" i="2"/>
  <c r="F148" i="2"/>
  <c r="H148" i="2"/>
  <c r="F149" i="2"/>
  <c r="H149" i="2"/>
  <c r="F136" i="2"/>
  <c r="H136" i="2"/>
  <c r="F137" i="2"/>
  <c r="H137" i="2"/>
  <c r="F138" i="2"/>
  <c r="H138" i="2"/>
  <c r="F139" i="2"/>
  <c r="H139" i="2"/>
  <c r="F140" i="2"/>
  <c r="H140" i="2"/>
  <c r="F141" i="2"/>
  <c r="H141" i="2"/>
  <c r="F142" i="2"/>
  <c r="H142" i="2"/>
  <c r="F143" i="2"/>
  <c r="H143" i="2"/>
  <c r="F144" i="2"/>
  <c r="H144" i="2"/>
  <c r="F145" i="2"/>
  <c r="H145" i="2"/>
  <c r="F146" i="2"/>
  <c r="H146" i="2"/>
  <c r="F119" i="2"/>
  <c r="H119" i="2"/>
  <c r="F114" i="2"/>
  <c r="H114" i="2"/>
  <c r="F115" i="2"/>
  <c r="H115" i="2"/>
  <c r="F116" i="2"/>
  <c r="H116" i="2"/>
  <c r="F117" i="2"/>
  <c r="H117" i="2"/>
  <c r="F118" i="2"/>
  <c r="H118" i="2"/>
  <c r="F95" i="2"/>
  <c r="H95" i="2"/>
  <c r="F96" i="2"/>
  <c r="H96" i="2"/>
  <c r="F97" i="2"/>
  <c r="H97" i="2"/>
  <c r="F98" i="2"/>
  <c r="H98" i="2"/>
  <c r="F82" i="2"/>
  <c r="H82" i="2"/>
  <c r="F81" i="2"/>
  <c r="H81" i="2"/>
  <c r="F76" i="2"/>
  <c r="H76" i="2"/>
  <c r="F77" i="2"/>
  <c r="H77" i="2"/>
  <c r="F78" i="2"/>
  <c r="H78" i="2"/>
  <c r="F79" i="2"/>
  <c r="H79" i="2"/>
  <c r="F80" i="2"/>
  <c r="H80" i="2"/>
  <c r="F57" i="2"/>
  <c r="H57" i="2"/>
  <c r="F58" i="2"/>
  <c r="H58" i="2"/>
  <c r="F45" i="2"/>
  <c r="H45" i="2"/>
  <c r="F38" i="2"/>
  <c r="H38" i="2"/>
  <c r="F40" i="2"/>
  <c r="H40" i="2"/>
  <c r="F41" i="2"/>
  <c r="H41" i="2"/>
  <c r="F43" i="2"/>
  <c r="H43" i="2"/>
  <c r="F34" i="2"/>
  <c r="H34" i="2"/>
  <c r="F35" i="2"/>
  <c r="H35" i="2"/>
  <c r="F36" i="2"/>
  <c r="H36" i="2"/>
  <c r="F37" i="2"/>
  <c r="H37" i="2"/>
  <c r="F39" i="2"/>
  <c r="H39" i="2"/>
  <c r="F42" i="2"/>
  <c r="H42" i="2"/>
  <c r="F44" i="2"/>
  <c r="H44" i="2"/>
  <c r="F19" i="2"/>
  <c r="H19" i="2"/>
  <c r="F6" i="2"/>
  <c r="H6" i="2"/>
  <c r="F11" i="2"/>
  <c r="H11" i="2"/>
  <c r="F14" i="2"/>
  <c r="H14" i="2"/>
  <c r="I10" i="2"/>
  <c r="F9" i="2"/>
  <c r="H9" i="2"/>
  <c r="F10" i="2"/>
  <c r="H10" i="2"/>
  <c r="F13" i="2"/>
  <c r="H13" i="2"/>
  <c r="F15" i="2"/>
  <c r="H15" i="2"/>
  <c r="I155" i="2"/>
  <c r="I154" i="2"/>
  <c r="I153" i="2"/>
  <c r="I152" i="2"/>
  <c r="I151" i="2"/>
  <c r="I150" i="2"/>
  <c r="I134" i="2"/>
  <c r="I133" i="2"/>
  <c r="I132" i="2"/>
  <c r="I131" i="2"/>
  <c r="I130" i="2"/>
  <c r="I126" i="2"/>
  <c r="I124" i="2"/>
  <c r="F132" i="2"/>
  <c r="I122" i="2"/>
  <c r="I120" i="2"/>
  <c r="I109" i="2"/>
  <c r="I107" i="2"/>
  <c r="I106" i="2"/>
  <c r="F111" i="2"/>
  <c r="F112" i="2"/>
  <c r="F113" i="2"/>
  <c r="F120" i="2"/>
  <c r="F121" i="2"/>
  <c r="F122" i="2"/>
  <c r="F123" i="2"/>
  <c r="F124" i="2"/>
  <c r="F125" i="2"/>
  <c r="F126" i="2"/>
  <c r="F127" i="2"/>
  <c r="F128" i="2"/>
  <c r="F130" i="2"/>
  <c r="F131" i="2"/>
  <c r="F133" i="2"/>
  <c r="F134" i="2"/>
  <c r="F135" i="2"/>
  <c r="F150" i="2"/>
  <c r="F151" i="2"/>
  <c r="F152" i="2"/>
  <c r="F153" i="2"/>
  <c r="F155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50" i="2"/>
  <c r="H151" i="2"/>
  <c r="H152" i="2"/>
  <c r="H153" i="2"/>
  <c r="H154" i="2"/>
  <c r="H155" i="2"/>
  <c r="F2" i="2"/>
  <c r="F3" i="2"/>
  <c r="F4" i="2"/>
  <c r="F5" i="2"/>
  <c r="F7" i="2"/>
  <c r="F8" i="2"/>
  <c r="F12" i="2"/>
  <c r="F16" i="2"/>
  <c r="F17" i="2"/>
  <c r="F18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46" i="2"/>
  <c r="F47" i="2"/>
  <c r="F48" i="2"/>
  <c r="F49" i="2"/>
  <c r="F50" i="2"/>
  <c r="F51" i="2"/>
  <c r="F52" i="2"/>
  <c r="F53" i="2"/>
  <c r="F54" i="2"/>
  <c r="F55" i="2"/>
  <c r="F56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83" i="2"/>
  <c r="F84" i="2"/>
  <c r="F85" i="2"/>
  <c r="F86" i="2"/>
  <c r="F87" i="2"/>
  <c r="F88" i="2"/>
  <c r="F89" i="2"/>
  <c r="F90" i="2"/>
  <c r="F91" i="2"/>
  <c r="F92" i="2"/>
  <c r="F93" i="2"/>
  <c r="F94" i="2"/>
  <c r="F101" i="2"/>
  <c r="F102" i="2"/>
  <c r="F103" i="2"/>
  <c r="F104" i="2"/>
  <c r="F105" i="2"/>
  <c r="F106" i="2"/>
  <c r="F107" i="2"/>
  <c r="F108" i="2"/>
  <c r="F109" i="2"/>
  <c r="F110" i="2"/>
  <c r="I88" i="2"/>
  <c r="I83" i="2"/>
  <c r="I73" i="2"/>
  <c r="I72" i="2"/>
  <c r="I71" i="2"/>
  <c r="I69" i="2"/>
  <c r="I59" i="2"/>
  <c r="I46" i="2"/>
  <c r="H2" i="2"/>
  <c r="H3" i="2"/>
  <c r="H4" i="2"/>
  <c r="H5" i="2"/>
  <c r="H7" i="2"/>
  <c r="H8" i="2"/>
  <c r="H12" i="2"/>
  <c r="H16" i="2"/>
  <c r="H17" i="2"/>
  <c r="H18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46" i="2"/>
  <c r="H47" i="2"/>
  <c r="H48" i="2"/>
  <c r="H49" i="2"/>
  <c r="H50" i="2"/>
  <c r="H51" i="2"/>
  <c r="H52" i="2"/>
  <c r="H53" i="2"/>
  <c r="H54" i="2"/>
  <c r="H55" i="2"/>
  <c r="H56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83" i="2"/>
  <c r="H84" i="2"/>
  <c r="H85" i="2"/>
  <c r="H86" i="2"/>
  <c r="H87" i="2"/>
  <c r="H88" i="2"/>
  <c r="H89" i="2"/>
  <c r="H90" i="2"/>
  <c r="H91" i="2"/>
  <c r="H92" i="2"/>
  <c r="H93" i="2"/>
  <c r="H94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20" i="2"/>
  <c r="H121" i="2"/>
  <c r="I33" i="2"/>
  <c r="I32" i="2"/>
  <c r="I31" i="2"/>
  <c r="I30" i="2"/>
  <c r="I29" i="2"/>
  <c r="I28" i="2"/>
  <c r="I27" i="2"/>
  <c r="I25" i="2"/>
  <c r="I24" i="2"/>
  <c r="I18" i="2"/>
  <c r="I17" i="2"/>
</calcChain>
</file>

<file path=xl/sharedStrings.xml><?xml version="1.0" encoding="utf-8"?>
<sst xmlns="http://schemas.openxmlformats.org/spreadsheetml/2006/main" count="1140" uniqueCount="210">
  <si>
    <t>Name</t>
  </si>
  <si>
    <t>Coordinates</t>
  </si>
  <si>
    <t>Monday</t>
  </si>
  <si>
    <t>Tuesday</t>
  </si>
  <si>
    <t>Wednesday</t>
  </si>
  <si>
    <t>Thursday</t>
  </si>
  <si>
    <t>Friday</t>
  </si>
  <si>
    <t>Saturday</t>
  </si>
  <si>
    <t>Sunday</t>
  </si>
  <si>
    <t>Albert cuyp</t>
  </si>
  <si>
    <t>Dappermarkt</t>
  </si>
  <si>
    <t xml:space="preserve">Lindengracht </t>
  </si>
  <si>
    <t>Closed</t>
  </si>
  <si>
    <t>09:30-17:00</t>
  </si>
  <si>
    <t>09:00-17:00</t>
  </si>
  <si>
    <t xml:space="preserve">Closed </t>
  </si>
  <si>
    <t>Boerenmarkt Haarlemmerplein</t>
  </si>
  <si>
    <t>08:30-17:00</t>
  </si>
  <si>
    <t>08:00-18:00</t>
  </si>
  <si>
    <t>Siermarkt</t>
  </si>
  <si>
    <t>09:00-16:30</t>
  </si>
  <si>
    <t>(52.355057, 4.890656) – (52.357144, 4.899394)</t>
  </si>
  <si>
    <t>52.362236, 4.927768</t>
  </si>
  <si>
    <t>52.384385, 4.883877</t>
  </si>
  <si>
    <t>52.380530, 4.886573</t>
  </si>
  <si>
    <t>52.355272, 4.826384</t>
  </si>
  <si>
    <t>Bird_ID</t>
  </si>
  <si>
    <t>Market</t>
  </si>
  <si>
    <t>Date</t>
  </si>
  <si>
    <t>Duration_min</t>
  </si>
  <si>
    <t>Market_open</t>
  </si>
  <si>
    <t>Day_type</t>
  </si>
  <si>
    <t>Notes</t>
  </si>
  <si>
    <t>Buikslotermeerplein</t>
  </si>
  <si>
    <t>Bos en lommermarkt</t>
  </si>
  <si>
    <t>09:00-18:00</t>
  </si>
  <si>
    <t>40-45 Nieuw West</t>
  </si>
  <si>
    <t>52.398309, 4.938139</t>
  </si>
  <si>
    <t>52.377960, 4.844215</t>
  </si>
  <si>
    <t>52.380458, 4.822452</t>
  </si>
  <si>
    <t xml:space="preserve">52.295809, 4.976053 </t>
  </si>
  <si>
    <t>Reigersbos</t>
  </si>
  <si>
    <t>Plein 40-45</t>
  </si>
  <si>
    <t>yes</t>
  </si>
  <si>
    <t>after market</t>
  </si>
  <si>
    <t>during market</t>
  </si>
  <si>
    <t xml:space="preserve">after market </t>
  </si>
  <si>
    <t xml:space="preserve">Day of the week </t>
  </si>
  <si>
    <t xml:space="preserve">Saturday </t>
  </si>
  <si>
    <t xml:space="preserve">during market </t>
  </si>
  <si>
    <t xml:space="preserve">Notes </t>
  </si>
  <si>
    <t>x</t>
  </si>
  <si>
    <t xml:space="preserve">Friday </t>
  </si>
  <si>
    <t>Visits Boerenmarkt at haarlemmerplein.</t>
  </si>
  <si>
    <t>Visits Plein 40-45.</t>
  </si>
  <si>
    <t xml:space="preserve">Visits Albert cuyp markt and Plein 40-45. </t>
  </si>
  <si>
    <t xml:space="preserve">Road to market </t>
  </si>
  <si>
    <t xml:space="preserve">Stopped multiple times on the way to Amsterdam, also stopped at the same place nearby Plein 40-45 as on the 23th. </t>
  </si>
  <si>
    <t xml:space="preserve">Flew straight from nest in Ijmuiden to Amsterdam, but stopped nearby Plein 40-45 multiple times, near the Van Gilsestraat. </t>
  </si>
  <si>
    <t>Year</t>
  </si>
  <si>
    <t xml:space="preserve">Visits Buikslotermeerplein. </t>
  </si>
  <si>
    <t xml:space="preserve">Visits Bos en Lommermarkt and Plein 40-45. </t>
  </si>
  <si>
    <t>Arrival_time_GMT</t>
  </si>
  <si>
    <t>Departure_time_GMT</t>
  </si>
  <si>
    <t>Arrival_time_CEST</t>
  </si>
  <si>
    <t xml:space="preserve">Departure_time_CEST </t>
  </si>
  <si>
    <t xml:space="preserve">Monday </t>
  </si>
  <si>
    <t>no</t>
  </si>
  <si>
    <t xml:space="preserve">Albert cuyp Market </t>
  </si>
  <si>
    <t xml:space="preserve">Tuesday </t>
  </si>
  <si>
    <t>before market</t>
  </si>
  <si>
    <t xml:space="preserve"> Visits Albert cuyp markt.</t>
  </si>
  <si>
    <t xml:space="preserve">Flew mostly in a straight line to Amsterdam. Has a nest in Ijmuiden. </t>
  </si>
  <si>
    <t>Boerenmarkt haarlemmerplein</t>
  </si>
  <si>
    <t xml:space="preserve">Wednesday </t>
  </si>
  <si>
    <t xml:space="preserve">Sunday </t>
  </si>
  <si>
    <t xml:space="preserve">Also has a nest on the forteiland in Ijmuiden. Flews to Amsterdam mostly in a straight line, sometimes some outliers. Spents time in Amsterdam mostly at the Houtmankade and makes some trips to boerenmarkt Haarlemmerplein. </t>
  </si>
  <si>
    <t xml:space="preserve">Market is only open on Wednesday but bird visits it all days of the week not really following the schedule. </t>
  </si>
  <si>
    <t xml:space="preserve">before market </t>
  </si>
  <si>
    <t xml:space="preserve">Mostly flies more to the city centre of Amsterdam and makes a stop at plein 40-45. Also has a nest on the forteiland in Ijmuiden. </t>
  </si>
  <si>
    <t xml:space="preserve">Plein 40-45 </t>
  </si>
  <si>
    <t xml:space="preserve">Visitis Plein 40-45. </t>
  </si>
  <si>
    <t xml:space="preserve">Spent time on a lot of places on plein 40-45. </t>
  </si>
  <si>
    <t xml:space="preserve">yes </t>
  </si>
  <si>
    <t xml:space="preserve">Also has a nest on the forteiland in Ijmuiden. Spents most of the time on the west side of Amsterdam. Flies mostly directly to Amsterdam. </t>
  </si>
  <si>
    <t>during/after market</t>
  </si>
  <si>
    <t xml:space="preserve">Has a nest on Texel, flies direct to Amsterdam and spents most time on the west side of Amsterdam. </t>
  </si>
  <si>
    <t>Day</t>
  </si>
  <si>
    <t>No data available.</t>
  </si>
  <si>
    <t xml:space="preserve">Went to the sea 3 times. </t>
  </si>
  <si>
    <t xml:space="preserve">Went to the sea 6 times. </t>
  </si>
  <si>
    <t xml:space="preserve">Made one trip to Amsterdam including plein 40-45. And made one trip to the sea. </t>
  </si>
  <si>
    <t>Went to Amsterdam 2 times, also went to sea 2 times.</t>
  </si>
  <si>
    <t>Went to Amsterdam 2 times, and went to the sea a couple times.</t>
  </si>
  <si>
    <t xml:space="preserve">Went to Amsterdam 2 times, and went to the sea 2 times. </t>
  </si>
  <si>
    <t xml:space="preserve">Went to Amsterdam 2 times, once to sea and once to a lake under Ijmuiden. </t>
  </si>
  <si>
    <t>Went to zwanenburg, badhoevendorp flew around. And once to sea, and to ijmuiden aan zee.</t>
  </si>
  <si>
    <t>Went to Ijmuiden city centre, velserkade and assendelft.</t>
  </si>
  <si>
    <t xml:space="preserve">Went to assendelft with a few pit stops. </t>
  </si>
  <si>
    <t xml:space="preserve">Went to schiphol and Ruigoord. </t>
  </si>
  <si>
    <t>Went to Amsterdam (close to market)?</t>
  </si>
  <si>
    <t>Went to Amsterdam, duivendrecht (no market), hoofddorp and zwanenburg.</t>
  </si>
  <si>
    <t>Went to sea?</t>
  </si>
  <si>
    <t xml:space="preserve">Went nearby schiphol and roelofarendsveen. </t>
  </si>
  <si>
    <t xml:space="preserve">Flew over Amsterdam around 6am, and flew back to it's nest around schiphol, through zwanenburg. </t>
  </si>
  <si>
    <t xml:space="preserve">Flew to Mijdrecht via Haarlem, and went back. </t>
  </si>
  <si>
    <t xml:space="preserve">Went to zwanenburg, and spent time at sea. </t>
  </si>
  <si>
    <t xml:space="preserve">Went to the east side of Amsterdam and to Diemen. </t>
  </si>
  <si>
    <t xml:space="preserve">Stayed at nest. </t>
  </si>
  <si>
    <t xml:space="preserve">Went to Amsterdam south-east. </t>
  </si>
  <si>
    <t xml:space="preserve">Went to sea once. </t>
  </si>
  <si>
    <t xml:space="preserve">Went to sea 4 times. </t>
  </si>
  <si>
    <t xml:space="preserve">Went to the south east of Amsterdam and went to sea once. </t>
  </si>
  <si>
    <t xml:space="preserve">Went to sea 2 times, and went to the south east of Amsterdam. </t>
  </si>
  <si>
    <t xml:space="preserve">Went 2 times to Amsterdam, once to south-east and once to the city center. And once to sea. </t>
  </si>
  <si>
    <t xml:space="preserve">Went to Beverwijk. </t>
  </si>
  <si>
    <t xml:space="preserve">Went to Assendelt. </t>
  </si>
  <si>
    <t xml:space="preserve">Went to Assendelft and flew a bit to the north. </t>
  </si>
  <si>
    <t xml:space="preserve">Flew to Zwanenburg, and then back via Zaandam, assendelft, beverwijk. And once went to sea. </t>
  </si>
  <si>
    <t xml:space="preserve">Flew to Sloterplas, and back and to zwanenburg and back an to sea once. </t>
  </si>
  <si>
    <t xml:space="preserve">Went to schiphol and back, and to sea once. And to the lake beneath ijmuiden. </t>
  </si>
  <si>
    <t>4am</t>
  </si>
  <si>
    <t xml:space="preserve">Went to the centrum of Amsterdam, spent some time at sloterplas and flew back. </t>
  </si>
  <si>
    <t xml:space="preserve">Went to Amsterdam twice to the houthavens and went to sea once. </t>
  </si>
  <si>
    <t xml:space="preserve">Went to Amsterdam twice, to the houthavens, and went to the lake beneath Ijmuiden. </t>
  </si>
  <si>
    <t xml:space="preserve">Went to Amsterdam to the houthavens again twice. </t>
  </si>
  <si>
    <t xml:space="preserve">Went to Amsterdam to the houthavens again once. </t>
  </si>
  <si>
    <t xml:space="preserve">Went to Amsterdam to the houthavens again, once. </t>
  </si>
  <si>
    <t xml:space="preserve">Went to Amsterdam to the houthavens again, once. And to the lake beneath Ijmuiden.  </t>
  </si>
  <si>
    <t xml:space="preserve">Went to Amsterdam to the houthaven, also to sea once, and to the lake beneath Ijmuiden. </t>
  </si>
  <si>
    <t>Went to Amsterdam to the houthaven, also to sea once, and to the lake beneath Ijmuiden.</t>
  </si>
  <si>
    <t xml:space="preserve">Went to Amsterdam west. </t>
  </si>
  <si>
    <t xml:space="preserve">Went to Amsterdam west/ city centre. </t>
  </si>
  <si>
    <t xml:space="preserve">Went to Amsterdam west real quick and spent rest of day at sea. </t>
  </si>
  <si>
    <t xml:space="preserve">Went to Amsterdam west, twice and to sea. </t>
  </si>
  <si>
    <t xml:space="preserve">Went to Amsterdam west once and went to sea, </t>
  </si>
  <si>
    <t xml:space="preserve">Went to Amsterdam west twice, to sea twice, and to Ijmuiden aan zee. </t>
  </si>
  <si>
    <t xml:space="preserve">Went to sea and to Texel (nest). </t>
  </si>
  <si>
    <t xml:space="preserve">Went to Hoogwoud and back. </t>
  </si>
  <si>
    <t>Went to Purmerend.</t>
  </si>
  <si>
    <t xml:space="preserve">Went to the North of Amsterdam, and to the sea. </t>
  </si>
  <si>
    <t xml:space="preserve">Went to the North of Amsterdam, but via Purmerend and not sea. </t>
  </si>
  <si>
    <t xml:space="preserve">No data available. </t>
  </si>
  <si>
    <t xml:space="preserve">Went to Amsterdam west once. </t>
  </si>
  <si>
    <t xml:space="preserve">Made to big trips to sea, and one to Amsterdam west, </t>
  </si>
  <si>
    <t xml:space="preserve">Went to Amsterdam once, to plein 40-45. Went to Haarlem, Ijmuiden aan zee, the lake beneath Ijmuiden and to sea twice. </t>
  </si>
  <si>
    <t xml:space="preserve">Flew over Amsterdam to the east side, and flew across the sea near the land. </t>
  </si>
  <si>
    <t xml:space="preserve">Went to Amsterdam and to sea. </t>
  </si>
  <si>
    <t xml:space="preserve">Went to Amsterdam twice and 4 times to sea. </t>
  </si>
  <si>
    <t xml:space="preserve">Went to Amsterdam once, nearby plein 40-45, and went to the lake beneath IJmuiden. </t>
  </si>
  <si>
    <t>Time (to Ams)</t>
  </si>
  <si>
    <t xml:space="preserve">Went to sea twice, went to Ijmuiden and went to Ijmuiden aan zee. </t>
  </si>
  <si>
    <t xml:space="preserve">Went to Amsterdam once, nearby plein 40-45, and went to sea once. </t>
  </si>
  <si>
    <t xml:space="preserve">Went to Amsterdam west twice, and went to sea 3 times. </t>
  </si>
  <si>
    <t xml:space="preserve">Went to Amsterdam west twice, and went to sea 3 times. And went to the lake beneath Ijmuiden. </t>
  </si>
  <si>
    <t xml:space="preserve">Went to the mainland (has its nest on Texel), and went to Den Helder. </t>
  </si>
  <si>
    <t xml:space="preserve">Went to the mainland to Schagen,  and went to the sea close to Alkmaar. </t>
  </si>
  <si>
    <t xml:space="preserve">Went to Amsterdam twice, nearby Osdorpplein. </t>
  </si>
  <si>
    <t xml:space="preserve">Spent a long time in Amsterdam,  nearby plein 40-45 and nearby osdorpplein. </t>
  </si>
  <si>
    <t xml:space="preserve">Went to Amsterdam nearby plein 40-45. </t>
  </si>
  <si>
    <t xml:space="preserve">Time2 (to ams </t>
  </si>
  <si>
    <t xml:space="preserve">Went to the centre of Amsterdam 2 times and went to sea once, and to Amstelveen. </t>
  </si>
  <si>
    <t>Market_ID</t>
  </si>
  <si>
    <t>Bird_Market_ID</t>
  </si>
  <si>
    <t>Market_days_open_per_week</t>
  </si>
  <si>
    <t>Market_type</t>
  </si>
  <si>
    <t>O</t>
  </si>
  <si>
    <t>C</t>
  </si>
  <si>
    <t>vO</t>
  </si>
  <si>
    <t>vC</t>
  </si>
  <si>
    <t>Plein_40_45</t>
  </si>
  <si>
    <t>7090_Plein_40_50</t>
  </si>
  <si>
    <t>frequent</t>
  </si>
  <si>
    <t>5615_Plein_40_50</t>
  </si>
  <si>
    <t>Albert_cuyp_market</t>
  </si>
  <si>
    <t>5965_Albert_cuyp_market</t>
  </si>
  <si>
    <t>5557_Plein_40_45</t>
  </si>
  <si>
    <t>5557_Albert_cuyp_market</t>
  </si>
  <si>
    <t>Boerenmarkt_haarlemmerplein</t>
  </si>
  <si>
    <t>5579_Boerenmarkt_haarlemmerplein</t>
  </si>
  <si>
    <t>rare</t>
  </si>
  <si>
    <t>5654_Plein_40_45</t>
  </si>
  <si>
    <t>5998_Buikslotermeerplein</t>
  </si>
  <si>
    <t>5491_Plein_40_50</t>
  </si>
  <si>
    <t>Bos_en_Lommermarkt</t>
  </si>
  <si>
    <t>5491_Bos_en_Lommermarkt</t>
  </si>
  <si>
    <t>intermediate</t>
  </si>
  <si>
    <t>5433_Plein_40_45</t>
  </si>
  <si>
    <t>5693_Plein_40_45</t>
  </si>
  <si>
    <t xml:space="preserve">duirng market </t>
  </si>
  <si>
    <t>Markets sheet:</t>
  </si>
  <si>
    <t>References</t>
  </si>
  <si>
    <t>Albert cuyp markt</t>
  </si>
  <si>
    <t>Openingstijden | Albert Cuyp Markt</t>
  </si>
  <si>
    <t>Eten op de Albert Cuyp: de lekkerste marktkramen | GIRLS WHO</t>
  </si>
  <si>
    <t>Dappermarkt Amsterdam: Alles wat je moet weten</t>
  </si>
  <si>
    <t>Viskraam op de Dappermarkt: een ankerpunt dat altijd aanwezig is | oost-online.amsterdam</t>
  </si>
  <si>
    <t>Home | visvanhenry</t>
  </si>
  <si>
    <t>Lindengracht</t>
  </si>
  <si>
    <t>Standplaatsen - P. Bond en Zonen</t>
  </si>
  <si>
    <t>Markt Amsterdam – De Gezelligste &amp; Meest Diverse! | Siermarkt</t>
  </si>
  <si>
    <t>Nieuwmarkt</t>
  </si>
  <si>
    <t>Buikslotermeerplein markt</t>
  </si>
  <si>
    <t>Markt Buikslotermeerplein te Amsterdam (Noord-Holland) op woensdag 22 april 2026 van 08:00 tot 18:00 uur</t>
  </si>
  <si>
    <t xml:space="preserve">Bos en lommermarkt </t>
  </si>
  <si>
    <t>Markt Bos en Lommermarkt te Amsterdam (Noord-Holland) op woensdag 22 april 2026 van 09:00 tot 18:00 uur</t>
  </si>
  <si>
    <t xml:space="preserve">Markt Plein 40-45 Nieuw West </t>
  </si>
  <si>
    <t>Markt Plein 40 45 Nieuw West te Amsterdam (Noord-Holland) op woensdag 22 april 2026 van 09:00 tot 17:00 uur</t>
  </si>
  <si>
    <t xml:space="preserve">Reigerbos markt </t>
  </si>
  <si>
    <t>Markt Reigersbos te Amsterdam (Noord-Holland) op woensdag 22 april 2026 van 09:00 tot 17:00 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</si>
</sst>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3" fillId="0" borderId="0" xfId="1"/>
    <xf numFmtId="20" fontId="0" fillId="0" borderId="0" xfId="0" applyNumberFormat="1"/>
    <xf numFmtId="14" fontId="0" fillId="0" borderId="0" xfId="0" applyNumberFormat="1"/>
    <xf numFmtId="47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horizontal="right" wrapText="1"/>
    </xf>
    <xf numFmtId="0" fontId="4" fillId="0" borderId="8" xfId="0" applyFont="1" applyBorder="1" applyAlignment="1">
      <alignment wrapText="1"/>
    </xf>
    <xf numFmtId="0" fontId="4" fillId="0" borderId="8" xfId="0" applyFont="1" applyBorder="1" applyAlignment="1">
      <alignment horizontal="right" wrapText="1"/>
    </xf>
    <xf numFmtId="0" fontId="4" fillId="0" borderId="9" xfId="0" applyFont="1" applyBorder="1" applyAlignment="1">
      <alignment horizontal="right" wrapText="1"/>
    </xf>
    <xf numFmtId="14" fontId="0" fillId="0" borderId="0" xfId="0" applyNumberFormat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/>
    </xf>
    <xf numFmtId="0" fontId="3" fillId="0" borderId="0" xfId="1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fill>
        <patternFill patternType="none">
          <fgColor indexed="64"/>
          <bgColor auto="1"/>
        </patternFill>
      </fill>
    </dxf>
    <dxf>
      <numFmt numFmtId="25" formatCode="hh:mm"/>
    </dxf>
    <dxf>
      <numFmt numFmtId="25" formatCode="hh:mm"/>
    </dxf>
    <dxf>
      <numFmt numFmtId="25" formatCode="hh:mm"/>
      <fill>
        <patternFill patternType="none">
          <fgColor indexed="64"/>
          <bgColor auto="1"/>
        </patternFill>
      </fill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BFC4E2-E6F9-44B6-BD28-E0AB8AF43028}" name="Table2" displayName="Table2" ref="A1:I10" totalsRowShown="0">
  <autoFilter ref="A1:I10" xr:uid="{A5BFC4E2-E6F9-44B6-BD28-E0AB8AF43028}"/>
  <tableColumns count="9">
    <tableColumn id="1" xr3:uid="{E06053D1-3742-45EF-AAB0-D46A40B9CFE3}" name="Name"/>
    <tableColumn id="2" xr3:uid="{DB2E5C6C-C871-42D6-BFF9-597FEBC07133}" name="Coordinates"/>
    <tableColumn id="3" xr3:uid="{369ADB8A-91D1-42F7-8A44-A688F4C1913C}" name="Monday"/>
    <tableColumn id="4" xr3:uid="{B9DED67A-F6A4-4FDC-BA5D-FDC7385E3241}" name="Tuesday"/>
    <tableColumn id="5" xr3:uid="{7468B8DA-0530-4A4D-B68B-7C1D98E40163}" name="Wednesday"/>
    <tableColumn id="6" xr3:uid="{CD8E3EBF-4DDE-4B12-80A6-B5B9D4F8B149}" name="Thursday"/>
    <tableColumn id="7" xr3:uid="{073188B7-D4B3-4ABD-A5B2-A502910300AC}" name="Friday"/>
    <tableColumn id="8" xr3:uid="{57742275-E96B-4A88-A3A2-95ABFC86F479}" name="Saturday"/>
    <tableColumn id="9" xr3:uid="{65B7CB69-D792-4578-ACA7-9C4A29E68A8B}" name="Sunday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CFDAA6-2DB1-4C87-8119-63AA0FC093F0}" name="Table3" displayName="Table3" ref="A1:M160" totalsRowShown="0">
  <autoFilter ref="A1:M160" xr:uid="{03CFDAA6-2DB1-4C87-8119-63AA0FC093F0}"/>
  <tableColumns count="13">
    <tableColumn id="1" xr3:uid="{034F5161-2074-4F7A-A6C8-742656684DDA}" name="Bird_ID"/>
    <tableColumn id="2" xr3:uid="{10FAE8E5-3A6D-41EC-BE45-13E0196D32B7}" name="Market"/>
    <tableColumn id="10" xr3:uid="{4C599D79-A7F9-4570-B7BD-461BE1B02D82}" name="Day of the week "/>
    <tableColumn id="3" xr3:uid="{AB764AE7-D4A8-4723-866B-AF523510D674}" name="Date" dataDxfId="22"/>
    <tableColumn id="4" xr3:uid="{F37FF157-0962-4BDC-9A39-D6740C0F695D}" name="Arrival_time_GMT"/>
    <tableColumn id="13" xr3:uid="{74F45CFB-3870-4CFC-B3DB-D2CF54042227}" name="Arrival_time_CEST" dataDxfId="21">
      <calculatedColumnFormula>IF(E2="","",E2+TIME(2,A631,0))</calculatedColumnFormula>
    </tableColumn>
    <tableColumn id="5" xr3:uid="{4F36FDE3-F5E8-41ED-BB14-97B7B6B1E042}" name="Departure_time_GMT"/>
    <tableColumn id="14" xr3:uid="{5F4A6A2A-F1D7-4771-B86E-EB78F1C34B83}" name="Departure_time_CEST " dataDxfId="20">
      <calculatedColumnFormula>IF(G2="","",G2+TIME(2,0,0))</calculatedColumnFormula>
    </tableColumn>
    <tableColumn id="6" xr3:uid="{7B710CF6-A891-417F-90CA-8449259A102C}" name="Duration_min" dataDxfId="19"/>
    <tableColumn id="7" xr3:uid="{356CFF84-74BA-4112-B9DB-4A591754BA47}" name="Market_open"/>
    <tableColumn id="8" xr3:uid="{D6818A92-B9A9-4D35-A0E2-64B0871B1EE3}" name="Day_type"/>
    <tableColumn id="9" xr3:uid="{F78B5759-CB3C-4FBF-96AF-EAA3AB1A0155}" name="Road to market "/>
    <tableColumn id="11" xr3:uid="{22CA57C2-52D4-417E-BCBB-4DFFFE9A7FAB}" name="Notes 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96A8F9-A7E8-4642-B167-26DBD3588415}" name="Table4" displayName="Table4" ref="A1:C11" totalsRowShown="0">
  <autoFilter ref="A1:C11" xr:uid="{9896A8F9-A7E8-4642-B167-26DBD3588415}"/>
  <tableColumns count="3">
    <tableColumn id="1" xr3:uid="{A62C566E-B791-4B90-82D4-F7EF2645DB7E}" name="Bird_ID" dataDxfId="18"/>
    <tableColumn id="2" xr3:uid="{E2A089A0-CFCD-40BF-9045-B42099450F5C}" name="Notes"/>
    <tableColumn id="3" xr3:uid="{56C3749D-6D38-4808-91AA-CE611D4EF0C9}" name="Year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8B3ED1-5AD7-44D1-9723-22DEC991790B}" name="Table7" displayName="Table7" ref="A1:H86" totalsRowShown="0">
  <autoFilter ref="A1:H86" xr:uid="{158B3ED1-5AD7-44D1-9723-22DEC991790B}"/>
  <tableColumns count="8">
    <tableColumn id="1" xr3:uid="{A156A365-201F-4715-ACD9-1FCD13B951EC}" name="Bird_ID"/>
    <tableColumn id="2" xr3:uid="{26B0F8B9-A704-4F99-84AC-A9B0FA571886}" name="Day"/>
    <tableColumn id="3" xr3:uid="{A5BE016F-000E-4A27-A45F-4C84463978B5}" name="Date"/>
    <tableColumn id="6" xr3:uid="{31DB7736-3FAF-49FF-8839-D705BBA24662}" name="Went to Amsterdam (close to market)?" dataDxfId="17"/>
    <tableColumn id="8" xr3:uid="{20AB0B5B-2F40-4F5A-8FF5-CF2D132DD063}" name="Went to sea?" dataDxfId="16"/>
    <tableColumn id="7" xr3:uid="{29730BF4-9E11-405E-92EE-090CE2B22967}" name="Time (to Ams)" dataDxfId="15"/>
    <tableColumn id="5" xr3:uid="{EFBF0089-5BA4-49FF-A94E-5E609C866D51}" name="Time2 (to ams " dataDxfId="14"/>
    <tableColumn id="4" xr3:uid="{6A23EAC7-E202-4072-BDD0-BAED8BAF3DCA}" name="Notes 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0932F-1652-4295-A13F-7F06274B8D19}" name="Table1" displayName="Table1" ref="A1:I13" totalsRowShown="0" headerRowDxfId="13" dataDxfId="11" headerRowBorderDxfId="12" tableBorderDxfId="10" totalsRowBorderDxfId="9">
  <autoFilter ref="A1:I13" xr:uid="{7B20932F-1652-4295-A13F-7F06274B8D19}"/>
  <tableColumns count="9">
    <tableColumn id="1" xr3:uid="{BF0A3BDA-7E4E-42E9-B299-8095C5EA9A47}" name="Bird_ID" dataDxfId="8"/>
    <tableColumn id="2" xr3:uid="{AE1E9AA0-CC00-41B8-9B0C-8AC9F1BD7A13}" name="Market_ID" dataDxfId="7"/>
    <tableColumn id="3" xr3:uid="{06B5C4E7-836C-4903-9640-50F4ACD90522}" name="Bird_Market_ID" dataDxfId="6"/>
    <tableColumn id="4" xr3:uid="{5A1EA2AD-E312-49B3-BF3F-14DD75579C78}" name="Market_days_open_per_week" dataDxfId="5"/>
    <tableColumn id="5" xr3:uid="{3847BEA2-1436-40D0-887B-7FF3F3730374}" name="Market_type" dataDxfId="4"/>
    <tableColumn id="6" xr3:uid="{7DF6B6B2-9E4B-4013-B24E-08AFCB891BF8}" name="O" dataDxfId="3"/>
    <tableColumn id="7" xr3:uid="{32D3F484-7827-4EFB-8748-0D0DC52BF9B9}" name="C" dataDxfId="2"/>
    <tableColumn id="8" xr3:uid="{5B69A8D9-A664-4479-A4E6-440F219EDC49}" name="vO" dataDxfId="1"/>
    <tableColumn id="9" xr3:uid="{535B00BA-0353-4ED0-850B-3E76F3632D07}" name="vC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rktenmarkten.nl/markt/markt-buikslotermeerplein/9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amsterdamlokaal.nl/dappermarkt-amsterdam/" TargetMode="External"/><Relationship Id="rId7" Type="http://schemas.openxmlformats.org/officeDocument/2006/relationships/hyperlink" Target="https://www.siermarkt.nl/" TargetMode="External"/><Relationship Id="rId12" Type="http://schemas.openxmlformats.org/officeDocument/2006/relationships/hyperlink" Target="https://www.siermarkt.nl/" TargetMode="External"/><Relationship Id="rId2" Type="http://schemas.openxmlformats.org/officeDocument/2006/relationships/hyperlink" Target="https://girlswhomagazine.nl/eten-op-albert-cuyp-marktkramen/" TargetMode="External"/><Relationship Id="rId1" Type="http://schemas.openxmlformats.org/officeDocument/2006/relationships/hyperlink" Target="https://albertcuyp-markt.amsterdam/openingstijden/" TargetMode="External"/><Relationship Id="rId6" Type="http://schemas.openxmlformats.org/officeDocument/2006/relationships/hyperlink" Target="https://pbondenzonen.nl/standplaatsen-2/" TargetMode="External"/><Relationship Id="rId11" Type="http://schemas.openxmlformats.org/officeDocument/2006/relationships/hyperlink" Target="https://www.marktenmarkten.nl/markt/markt-reigersbos/23/" TargetMode="External"/><Relationship Id="rId5" Type="http://schemas.openxmlformats.org/officeDocument/2006/relationships/hyperlink" Target="https://www.visvanhenry.nl/?utm_source=chatgpt.com" TargetMode="External"/><Relationship Id="rId10" Type="http://schemas.openxmlformats.org/officeDocument/2006/relationships/hyperlink" Target="https://www.marktenmarkten.nl/markt/markt-plein-40-45-nieuw-west/22/" TargetMode="External"/><Relationship Id="rId4" Type="http://schemas.openxmlformats.org/officeDocument/2006/relationships/hyperlink" Target="https://oost-online.nl/viskraam-op-de-dappermarkt-een-ankerpunt-dat-altijd-aanwezig-is/" TargetMode="External"/><Relationship Id="rId9" Type="http://schemas.openxmlformats.org/officeDocument/2006/relationships/hyperlink" Target="https://www.marktenmarkten.nl/markt/markt-bos-en-lommermarkt/3/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CCAD-F0B6-4ECF-9D77-FB0A0C128B27}">
  <dimension ref="A1:I28"/>
  <sheetViews>
    <sheetView tabSelected="1" zoomScale="65" workbookViewId="0">
      <selection activeCell="M27" sqref="M27"/>
    </sheetView>
  </sheetViews>
  <sheetFormatPr defaultRowHeight="14.4" x14ac:dyDescent="0.3"/>
  <cols>
    <col min="1" max="1" width="25.77734375" customWidth="1"/>
    <col min="2" max="2" width="40.77734375" customWidth="1"/>
    <col min="3" max="8" width="15.77734375" customWidth="1"/>
    <col min="9" max="9" width="25.77734375" customWidth="1"/>
  </cols>
  <sheetData>
    <row r="1" spans="1:9" ht="28.9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95" customHeight="1" x14ac:dyDescent="0.3">
      <c r="A2" t="s">
        <v>9</v>
      </c>
      <c r="B2" t="s">
        <v>21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12</v>
      </c>
    </row>
    <row r="3" spans="1:9" ht="28.95" customHeight="1" x14ac:dyDescent="0.3">
      <c r="A3" t="s">
        <v>10</v>
      </c>
      <c r="B3" t="s">
        <v>22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15</v>
      </c>
    </row>
    <row r="4" spans="1:9" ht="28.95" customHeight="1" x14ac:dyDescent="0.3">
      <c r="A4" t="s">
        <v>16</v>
      </c>
      <c r="B4" t="s">
        <v>23</v>
      </c>
      <c r="C4" t="s">
        <v>12</v>
      </c>
      <c r="D4" t="s">
        <v>12</v>
      </c>
      <c r="E4" t="s">
        <v>17</v>
      </c>
      <c r="F4" t="s">
        <v>12</v>
      </c>
      <c r="G4" t="s">
        <v>12</v>
      </c>
      <c r="H4" t="s">
        <v>12</v>
      </c>
      <c r="I4" t="s">
        <v>12</v>
      </c>
    </row>
    <row r="5" spans="1:9" ht="28.95" customHeight="1" x14ac:dyDescent="0.3">
      <c r="A5" t="s">
        <v>11</v>
      </c>
      <c r="B5" t="s">
        <v>24</v>
      </c>
      <c r="C5" t="s">
        <v>12</v>
      </c>
      <c r="D5" t="s">
        <v>15</v>
      </c>
      <c r="E5" t="s">
        <v>12</v>
      </c>
      <c r="F5" t="s">
        <v>15</v>
      </c>
      <c r="G5" t="s">
        <v>15</v>
      </c>
      <c r="H5" t="s">
        <v>18</v>
      </c>
      <c r="I5" t="s">
        <v>15</v>
      </c>
    </row>
    <row r="6" spans="1:9" ht="28.95" customHeight="1" x14ac:dyDescent="0.3">
      <c r="A6" t="s">
        <v>19</v>
      </c>
      <c r="B6" t="s">
        <v>25</v>
      </c>
      <c r="C6" t="s">
        <v>12</v>
      </c>
      <c r="D6" t="s">
        <v>12</v>
      </c>
      <c r="E6" t="s">
        <v>20</v>
      </c>
      <c r="F6" t="s">
        <v>12</v>
      </c>
      <c r="G6" t="s">
        <v>12</v>
      </c>
      <c r="H6" t="s">
        <v>12</v>
      </c>
      <c r="I6" t="s">
        <v>15</v>
      </c>
    </row>
    <row r="7" spans="1:9" ht="28.95" customHeight="1" x14ac:dyDescent="0.3">
      <c r="A7" t="s">
        <v>33</v>
      </c>
      <c r="B7" t="s">
        <v>37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12</v>
      </c>
    </row>
    <row r="8" spans="1:9" ht="28.95" customHeight="1" x14ac:dyDescent="0.3">
      <c r="A8" t="s">
        <v>34</v>
      </c>
      <c r="B8" t="s">
        <v>38</v>
      </c>
      <c r="C8" t="s">
        <v>12</v>
      </c>
      <c r="D8" t="s">
        <v>35</v>
      </c>
      <c r="E8" t="s">
        <v>35</v>
      </c>
      <c r="F8" t="s">
        <v>12</v>
      </c>
      <c r="G8" t="s">
        <v>12</v>
      </c>
      <c r="H8" t="s">
        <v>35</v>
      </c>
      <c r="I8" t="s">
        <v>12</v>
      </c>
    </row>
    <row r="9" spans="1:9" ht="28.95" customHeight="1" x14ac:dyDescent="0.3">
      <c r="A9" t="s">
        <v>36</v>
      </c>
      <c r="B9" t="s">
        <v>39</v>
      </c>
      <c r="C9" t="s">
        <v>15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15</v>
      </c>
    </row>
    <row r="10" spans="1:9" ht="28.95" customHeight="1" x14ac:dyDescent="0.3">
      <c r="A10" t="s">
        <v>41</v>
      </c>
      <c r="B10" t="s">
        <v>40</v>
      </c>
      <c r="C10" t="s">
        <v>12</v>
      </c>
      <c r="D10" t="s">
        <v>12</v>
      </c>
      <c r="E10" t="s">
        <v>14</v>
      </c>
      <c r="F10" t="s">
        <v>12</v>
      </c>
      <c r="G10" t="s">
        <v>12</v>
      </c>
      <c r="H10" t="s">
        <v>12</v>
      </c>
      <c r="I10" t="s">
        <v>15</v>
      </c>
    </row>
    <row r="11" spans="1:9" ht="28.95" customHeight="1" x14ac:dyDescent="0.3"/>
    <row r="14" spans="1:9" x14ac:dyDescent="0.3">
      <c r="A14" s="1"/>
    </row>
    <row r="15" spans="1:9" x14ac:dyDescent="0.3">
      <c r="B15" s="2"/>
      <c r="D15" s="2"/>
    </row>
    <row r="16" spans="1:9" x14ac:dyDescent="0.3">
      <c r="B16" s="18" t="s">
        <v>190</v>
      </c>
    </row>
    <row r="17" spans="2:9" x14ac:dyDescent="0.3">
      <c r="B17" s="19" t="s">
        <v>191</v>
      </c>
      <c r="C17" s="20"/>
      <c r="D17" s="20"/>
      <c r="E17" s="20"/>
      <c r="F17" s="20"/>
      <c r="G17" s="20"/>
      <c r="H17" s="20"/>
      <c r="I17" s="20"/>
    </row>
    <row r="18" spans="2:9" x14ac:dyDescent="0.3">
      <c r="B18" s="21" t="s">
        <v>192</v>
      </c>
      <c r="C18" s="22" t="s">
        <v>193</v>
      </c>
      <c r="D18" s="20"/>
      <c r="E18" s="23" t="s">
        <v>194</v>
      </c>
      <c r="F18" s="23"/>
      <c r="G18" s="23"/>
      <c r="H18" s="23"/>
      <c r="I18" s="20"/>
    </row>
    <row r="19" spans="2:9" x14ac:dyDescent="0.3">
      <c r="B19" s="21" t="s">
        <v>10</v>
      </c>
      <c r="C19" s="22" t="s">
        <v>195</v>
      </c>
      <c r="D19" s="20"/>
      <c r="E19" s="23" t="s">
        <v>196</v>
      </c>
      <c r="F19" s="23"/>
      <c r="G19" s="23"/>
      <c r="H19" s="23"/>
      <c r="I19" s="23"/>
    </row>
    <row r="20" spans="2:9" x14ac:dyDescent="0.3">
      <c r="B20" s="21" t="s">
        <v>16</v>
      </c>
      <c r="C20" s="22" t="s">
        <v>197</v>
      </c>
      <c r="D20" s="20"/>
      <c r="E20" s="20"/>
      <c r="F20" s="20"/>
      <c r="G20" s="20"/>
      <c r="H20" s="20"/>
      <c r="I20" s="20"/>
    </row>
    <row r="21" spans="2:9" x14ac:dyDescent="0.3">
      <c r="B21" s="21" t="s">
        <v>198</v>
      </c>
      <c r="C21" s="22" t="s">
        <v>199</v>
      </c>
      <c r="D21" s="20"/>
      <c r="E21" s="20"/>
      <c r="F21" s="20"/>
      <c r="G21" s="20"/>
      <c r="H21" s="20"/>
      <c r="I21" s="20"/>
    </row>
    <row r="22" spans="2:9" x14ac:dyDescent="0.3">
      <c r="B22" s="21" t="s">
        <v>19</v>
      </c>
      <c r="C22" s="23" t="s">
        <v>200</v>
      </c>
      <c r="D22" s="23"/>
      <c r="E22" s="20"/>
      <c r="F22" s="20"/>
      <c r="G22" s="20"/>
      <c r="H22" s="20"/>
      <c r="I22" s="20"/>
    </row>
    <row r="23" spans="2:9" x14ac:dyDescent="0.3">
      <c r="B23" s="21" t="s">
        <v>201</v>
      </c>
      <c r="C23" s="23" t="s">
        <v>200</v>
      </c>
      <c r="D23" s="23"/>
      <c r="E23" s="20"/>
      <c r="F23" s="20"/>
      <c r="G23" s="20"/>
      <c r="H23" s="20"/>
      <c r="I23" s="20"/>
    </row>
    <row r="24" spans="2:9" x14ac:dyDescent="0.3">
      <c r="B24" s="21" t="s">
        <v>202</v>
      </c>
      <c r="C24" s="23" t="s">
        <v>203</v>
      </c>
      <c r="D24" s="23"/>
      <c r="E24" s="23"/>
      <c r="F24" s="23"/>
      <c r="G24" s="20"/>
      <c r="H24" s="20"/>
      <c r="I24" s="20"/>
    </row>
    <row r="25" spans="2:9" x14ac:dyDescent="0.3">
      <c r="B25" s="21" t="s">
        <v>204</v>
      </c>
      <c r="C25" s="23" t="s">
        <v>205</v>
      </c>
      <c r="D25" s="23"/>
      <c r="E25" s="23"/>
      <c r="F25" s="23"/>
      <c r="G25" s="20"/>
      <c r="H25" s="20"/>
      <c r="I25" s="20"/>
    </row>
    <row r="26" spans="2:9" x14ac:dyDescent="0.3">
      <c r="B26" s="21" t="s">
        <v>206</v>
      </c>
      <c r="C26" s="23" t="s">
        <v>207</v>
      </c>
      <c r="D26" s="23"/>
      <c r="E26" s="23"/>
      <c r="F26" s="23"/>
      <c r="G26" s="23"/>
      <c r="H26" s="20"/>
      <c r="I26" s="20"/>
    </row>
    <row r="27" spans="2:9" x14ac:dyDescent="0.3">
      <c r="B27" s="21" t="s">
        <v>208</v>
      </c>
      <c r="C27" s="23" t="s">
        <v>209</v>
      </c>
      <c r="D27" s="23"/>
      <c r="E27" s="23"/>
      <c r="F27" s="23"/>
      <c r="G27" s="20"/>
      <c r="H27" s="20"/>
      <c r="I27" s="20"/>
    </row>
    <row r="28" spans="2:9" x14ac:dyDescent="0.3">
      <c r="B28" s="18"/>
    </row>
  </sheetData>
  <mergeCells count="8">
    <mergeCell ref="C26:G26"/>
    <mergeCell ref="C27:F27"/>
    <mergeCell ref="E18:H18"/>
    <mergeCell ref="E19:I19"/>
    <mergeCell ref="C22:D22"/>
    <mergeCell ref="C23:D23"/>
    <mergeCell ref="C24:F24"/>
    <mergeCell ref="C25:F25"/>
  </mergeCells>
  <phoneticPr fontId="2" type="noConversion"/>
  <hyperlinks>
    <hyperlink ref="C18" r:id="rId1" display="https://albertcuyp-markt.amsterdam/openingstijden/" xr:uid="{4E9FE784-CE90-4118-ABE6-20F03DCBD66C}"/>
    <hyperlink ref="E18" r:id="rId2" display="https://girlswhomagazine.nl/eten-op-albert-cuyp-marktkramen/" xr:uid="{246A9028-809C-4DE3-AD82-8FA8127A3EB7}"/>
    <hyperlink ref="C19" r:id="rId3" display="https://amsterdamlokaal.nl/dappermarkt-amsterdam/" xr:uid="{DAB6E75D-A9D1-455B-A083-BFEB7311FCE7}"/>
    <hyperlink ref="E19" r:id="rId4" display="https://oost-online.nl/viskraam-op-de-dappermarkt-een-ankerpunt-dat-altijd-aanwezig-is/" xr:uid="{3F034580-B9F0-44DE-965F-B0D720785AA9}"/>
    <hyperlink ref="C20" r:id="rId5" display="https://www.visvanhenry.nl/?utm_source=chatgpt.com" xr:uid="{C3A8F611-4D79-46F8-9429-FFB53CE9663C}"/>
    <hyperlink ref="C21" r:id="rId6" display="https://pbondenzonen.nl/standplaatsen-2/" xr:uid="{CD847882-6772-4416-ADC2-2F5CFD9D0069}"/>
    <hyperlink ref="C22" r:id="rId7" location="d5eZYZCMCnXQ_d5eZYZCMCnXQ" display="https://www.siermarkt.nl/ - d5eZYZCMCnXQ_d5eZYZCMCnXQ" xr:uid="{9BA8067B-AF50-400F-8829-4BDFCB69683B}"/>
    <hyperlink ref="C24" r:id="rId8" display="https://www.marktenmarkten.nl/markt/markt-buikslotermeerplein/9/" xr:uid="{CCC8B2B3-BE82-4DDC-AF24-AFAB880BC0A7}"/>
    <hyperlink ref="C25" r:id="rId9" display="https://www.marktenmarkten.nl/markt/markt-bos-en-lommermarkt/3/" xr:uid="{9F13D67F-E836-4E70-B996-3C3BE264347E}"/>
    <hyperlink ref="C26" r:id="rId10" display="https://www.marktenmarkten.nl/markt/markt-plein-40-45-nieuw-west/22/" xr:uid="{54A30111-7A0E-431F-8EB9-442F4D073561}"/>
    <hyperlink ref="C27" r:id="rId11" display="https://www.marktenmarkten.nl/markt/markt-reigersbos/23/" xr:uid="{8E645155-B1DA-43C3-A052-3F40E26AE2D6}"/>
    <hyperlink ref="C23" r:id="rId12" location="d5eZYZCMCnXQ_d5eZYZCMCnXQ" display="https://www.siermarkt.nl/ - d5eZYZCMCnXQ_d5eZYZCMCnXQ" xr:uid="{CBF73083-F2C6-42C5-AFFC-F98DD8A0D991}"/>
  </hyperlinks>
  <pageMargins left="0.7" right="0.7" top="0.75" bottom="0.75" header="0.3" footer="0.3"/>
  <pageSetup paperSize="9" orientation="portrait" r:id="rId1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422B-F297-40B6-AADE-E9B187881D77}">
  <dimension ref="A1:M160"/>
  <sheetViews>
    <sheetView topLeftCell="A139" zoomScale="105" zoomScaleNormal="65" workbookViewId="0">
      <selection activeCell="D122" sqref="D122"/>
    </sheetView>
  </sheetViews>
  <sheetFormatPr defaultRowHeight="14.4" x14ac:dyDescent="0.3"/>
  <cols>
    <col min="1" max="9" width="20.77734375" customWidth="1"/>
    <col min="10" max="11" width="25.77734375" customWidth="1"/>
  </cols>
  <sheetData>
    <row r="1" spans="1:13" x14ac:dyDescent="0.3">
      <c r="A1" t="s">
        <v>26</v>
      </c>
      <c r="B1" t="s">
        <v>27</v>
      </c>
      <c r="C1" t="s">
        <v>47</v>
      </c>
      <c r="D1" t="s">
        <v>28</v>
      </c>
      <c r="E1" t="s">
        <v>62</v>
      </c>
      <c r="F1" t="s">
        <v>64</v>
      </c>
      <c r="G1" t="s">
        <v>63</v>
      </c>
      <c r="H1" s="3" t="s">
        <v>65</v>
      </c>
      <c r="I1" t="s">
        <v>29</v>
      </c>
      <c r="J1" t="s">
        <v>30</v>
      </c>
      <c r="K1" t="s">
        <v>31</v>
      </c>
      <c r="L1" t="s">
        <v>56</v>
      </c>
      <c r="M1" t="s">
        <v>50</v>
      </c>
    </row>
    <row r="2" spans="1:13" x14ac:dyDescent="0.3">
      <c r="A2">
        <v>7090</v>
      </c>
      <c r="B2" t="s">
        <v>42</v>
      </c>
      <c r="C2" t="s">
        <v>6</v>
      </c>
      <c r="D2" s="4">
        <v>45100</v>
      </c>
      <c r="E2" s="3">
        <v>0.76111111111111107</v>
      </c>
      <c r="F2" s="3">
        <f>IF(E2="","",E2+TIME(2,A631,0))</f>
        <v>0.84444444444444444</v>
      </c>
      <c r="H2" s="3" t="str">
        <f t="shared" ref="H2:H52" si="0">IF(G2="","",G2+TIME(2,0,0))</f>
        <v/>
      </c>
      <c r="I2" s="3"/>
      <c r="J2" t="s">
        <v>43</v>
      </c>
      <c r="K2" t="s">
        <v>44</v>
      </c>
      <c r="L2" t="s">
        <v>58</v>
      </c>
    </row>
    <row r="3" spans="1:13" x14ac:dyDescent="0.3">
      <c r="A3">
        <v>7090</v>
      </c>
      <c r="B3" t="s">
        <v>42</v>
      </c>
      <c r="C3" t="s">
        <v>7</v>
      </c>
      <c r="D3" s="4">
        <v>45101</v>
      </c>
      <c r="E3" s="3">
        <v>0.60416666666666663</v>
      </c>
      <c r="F3" s="3">
        <f>IF(E3="","",E3+TIME(2,A632,0))</f>
        <v>0.6875</v>
      </c>
      <c r="H3" s="3" t="str">
        <f t="shared" si="0"/>
        <v/>
      </c>
      <c r="I3" s="3"/>
      <c r="J3" t="s">
        <v>43</v>
      </c>
      <c r="K3" t="s">
        <v>45</v>
      </c>
      <c r="L3" t="s">
        <v>57</v>
      </c>
    </row>
    <row r="4" spans="1:13" x14ac:dyDescent="0.3">
      <c r="A4">
        <v>7090</v>
      </c>
      <c r="B4" t="s">
        <v>42</v>
      </c>
      <c r="C4" t="s">
        <v>3</v>
      </c>
      <c r="D4" s="4">
        <v>45097</v>
      </c>
      <c r="E4" s="3">
        <v>0.76249999999999996</v>
      </c>
      <c r="F4" s="3">
        <f>IF(E4="","",E4+TIME(2,A633,0))</f>
        <v>0.84583333333333333</v>
      </c>
      <c r="G4" s="3">
        <v>0.76597222222222228</v>
      </c>
      <c r="H4" s="3">
        <f t="shared" si="0"/>
        <v>0.84930555555555565</v>
      </c>
      <c r="I4" s="3">
        <v>3.472222222222222E-3</v>
      </c>
      <c r="J4" t="s">
        <v>43</v>
      </c>
      <c r="K4" t="s">
        <v>46</v>
      </c>
    </row>
    <row r="5" spans="1:13" x14ac:dyDescent="0.3">
      <c r="A5">
        <v>7090</v>
      </c>
      <c r="B5" t="s">
        <v>42</v>
      </c>
      <c r="C5" t="s">
        <v>3</v>
      </c>
      <c r="D5" s="4">
        <v>45083</v>
      </c>
      <c r="E5" s="3">
        <v>0.60902777777777772</v>
      </c>
      <c r="F5" s="3">
        <f>IF(E5="","",E5+TIME(2,A634,0))</f>
        <v>0.69236111111111109</v>
      </c>
      <c r="H5" s="3" t="str">
        <f t="shared" si="0"/>
        <v/>
      </c>
      <c r="I5" s="3"/>
      <c r="J5" t="s">
        <v>43</v>
      </c>
      <c r="K5" t="s">
        <v>45</v>
      </c>
    </row>
    <row r="6" spans="1:13" x14ac:dyDescent="0.3">
      <c r="A6">
        <v>7090</v>
      </c>
      <c r="B6" t="s">
        <v>42</v>
      </c>
      <c r="C6" t="s">
        <v>7</v>
      </c>
      <c r="D6" s="4">
        <v>45108</v>
      </c>
      <c r="E6" s="3">
        <v>0.44097222222222221</v>
      </c>
      <c r="F6" s="3">
        <f>IF(E6="","",E6+TIME(2,A635,0))</f>
        <v>0.52430555555555558</v>
      </c>
      <c r="H6" s="3" t="str">
        <f>IF(G6="","",G6+TIME(2,0,0))</f>
        <v/>
      </c>
      <c r="I6" s="3"/>
      <c r="J6" t="s">
        <v>43</v>
      </c>
      <c r="K6" t="s">
        <v>45</v>
      </c>
    </row>
    <row r="7" spans="1:13" x14ac:dyDescent="0.3">
      <c r="A7">
        <v>7090</v>
      </c>
      <c r="B7" t="s">
        <v>42</v>
      </c>
      <c r="C7" t="s">
        <v>48</v>
      </c>
      <c r="D7" s="4">
        <v>45080</v>
      </c>
      <c r="E7" s="3">
        <v>0.54652777777777772</v>
      </c>
      <c r="F7" s="3">
        <f>IF(E7="","",E7+TIME(2,A635,0))</f>
        <v>0.62986111111111109</v>
      </c>
      <c r="H7" s="3" t="str">
        <f t="shared" si="0"/>
        <v/>
      </c>
      <c r="I7" s="3"/>
      <c r="J7" t="s">
        <v>43</v>
      </c>
      <c r="K7" t="s">
        <v>49</v>
      </c>
    </row>
    <row r="8" spans="1:13" x14ac:dyDescent="0.3">
      <c r="A8">
        <v>7090</v>
      </c>
      <c r="B8" t="s">
        <v>42</v>
      </c>
      <c r="C8" t="s">
        <v>5</v>
      </c>
      <c r="D8" s="4">
        <v>45099</v>
      </c>
      <c r="E8" s="3">
        <v>0.62777777777777777</v>
      </c>
      <c r="F8" s="3">
        <f>IF(E8="","",E8+TIME(2,A636,0))</f>
        <v>0.71111111111111114</v>
      </c>
      <c r="H8" s="3" t="str">
        <f t="shared" si="0"/>
        <v/>
      </c>
      <c r="I8" s="3"/>
      <c r="J8" t="s">
        <v>43</v>
      </c>
      <c r="K8" t="s">
        <v>44</v>
      </c>
    </row>
    <row r="9" spans="1:13" x14ac:dyDescent="0.3">
      <c r="A9">
        <v>7090</v>
      </c>
      <c r="B9" t="s">
        <v>42</v>
      </c>
      <c r="C9" t="s">
        <v>6</v>
      </c>
      <c r="D9" s="4">
        <v>45084</v>
      </c>
      <c r="E9" s="3">
        <v>0.53472222222222221</v>
      </c>
      <c r="F9" s="3">
        <f>IF(E9="","",E9+TIME(2,A637,0))</f>
        <v>0.61805555555555558</v>
      </c>
      <c r="H9" s="3" t="str">
        <f>IF(G9="","",G9+TIME(2,0,0))</f>
        <v/>
      </c>
      <c r="I9" s="3"/>
      <c r="J9" t="s">
        <v>43</v>
      </c>
      <c r="K9" t="s">
        <v>49</v>
      </c>
    </row>
    <row r="10" spans="1:13" x14ac:dyDescent="0.3">
      <c r="A10">
        <v>7090</v>
      </c>
      <c r="B10" t="s">
        <v>42</v>
      </c>
      <c r="C10" t="s">
        <v>75</v>
      </c>
      <c r="D10" s="4">
        <v>45130</v>
      </c>
      <c r="E10" s="3">
        <v>0.23472222222222222</v>
      </c>
      <c r="F10" s="3">
        <f>IF(E10="","",E10+TIME(2,A637,0))</f>
        <v>0.31805555555555554</v>
      </c>
      <c r="G10" s="3">
        <v>0.2590277777777778</v>
      </c>
      <c r="H10" s="3">
        <f>IF(G10="","",G10+TIME(2,0,0))</f>
        <v>0.34236111111111112</v>
      </c>
      <c r="I10" s="3">
        <f>G10-E10</f>
        <v>2.430555555555558E-2</v>
      </c>
      <c r="J10" t="s">
        <v>67</v>
      </c>
    </row>
    <row r="11" spans="1:13" x14ac:dyDescent="0.3">
      <c r="A11">
        <v>7090</v>
      </c>
      <c r="B11" t="s">
        <v>42</v>
      </c>
      <c r="C11" t="s">
        <v>3</v>
      </c>
      <c r="D11" s="4">
        <v>45111</v>
      </c>
      <c r="E11" s="3">
        <v>0.81736111111111109</v>
      </c>
      <c r="F11" s="3">
        <f>IF(E11="","",E11+TIME(2,A639,0))</f>
        <v>0.90069444444444446</v>
      </c>
      <c r="G11" s="3"/>
      <c r="H11" s="3" t="str">
        <f>IF(G11="","",G11+TIME(2,0,0))</f>
        <v/>
      </c>
      <c r="I11" s="3"/>
      <c r="J11" t="s">
        <v>43</v>
      </c>
      <c r="K11" t="s">
        <v>44</v>
      </c>
    </row>
    <row r="12" spans="1:13" x14ac:dyDescent="0.3">
      <c r="A12">
        <v>7090</v>
      </c>
      <c r="B12" t="s">
        <v>42</v>
      </c>
      <c r="C12" t="s">
        <v>7</v>
      </c>
      <c r="D12" s="4">
        <v>45104</v>
      </c>
      <c r="E12" s="3">
        <v>0.78125</v>
      </c>
      <c r="F12" s="3">
        <f>IF(E12="","",E12+TIME(2,A637,0))</f>
        <v>0.86458333333333337</v>
      </c>
      <c r="H12" s="3" t="str">
        <f t="shared" si="0"/>
        <v/>
      </c>
      <c r="I12" s="3"/>
      <c r="J12" t="s">
        <v>43</v>
      </c>
      <c r="K12" t="s">
        <v>44</v>
      </c>
    </row>
    <row r="13" spans="1:13" x14ac:dyDescent="0.3">
      <c r="A13">
        <v>7090</v>
      </c>
      <c r="B13" t="s">
        <v>42</v>
      </c>
      <c r="C13" t="s">
        <v>8</v>
      </c>
      <c r="D13" s="4">
        <v>45116</v>
      </c>
      <c r="E13" s="3">
        <v>0.58472222222222225</v>
      </c>
      <c r="F13" s="3">
        <f>IF(E13="","",E13+TIME(2,A638,0))</f>
        <v>0.66805555555555562</v>
      </c>
      <c r="H13" s="3" t="str">
        <f>IF(G13="","",G13+TIME(2,0,0))</f>
        <v/>
      </c>
      <c r="I13" s="3"/>
      <c r="J13" t="s">
        <v>67</v>
      </c>
    </row>
    <row r="14" spans="1:13" x14ac:dyDescent="0.3">
      <c r="A14">
        <v>7090</v>
      </c>
      <c r="B14" t="s">
        <v>42</v>
      </c>
      <c r="C14" t="s">
        <v>6</v>
      </c>
      <c r="D14" s="4">
        <v>45128</v>
      </c>
      <c r="E14" s="3">
        <v>0.52361111111111114</v>
      </c>
      <c r="F14" s="3">
        <f>IF(E14="","",E14+TIME(2,A641,0))</f>
        <v>0.60694444444444451</v>
      </c>
      <c r="H14" s="3" t="str">
        <f>IF(G14="","",G14+TIME(2,0,0))</f>
        <v/>
      </c>
      <c r="I14" s="3"/>
      <c r="J14" t="s">
        <v>43</v>
      </c>
      <c r="K14" t="s">
        <v>49</v>
      </c>
    </row>
    <row r="15" spans="1:13" x14ac:dyDescent="0.3">
      <c r="A15">
        <v>7090</v>
      </c>
      <c r="B15" t="s">
        <v>42</v>
      </c>
      <c r="C15" t="s">
        <v>6</v>
      </c>
      <c r="D15" s="4">
        <v>45135</v>
      </c>
      <c r="E15" s="3">
        <v>0.77638888888888891</v>
      </c>
      <c r="F15" s="3">
        <f>IF(E15="","",E15+TIME(2,A638,0))</f>
        <v>0.85972222222222228</v>
      </c>
      <c r="H15" s="3" t="str">
        <f>IF(G15="","",G15+TIME(2,0,0))</f>
        <v/>
      </c>
      <c r="I15" s="3"/>
      <c r="J15" t="s">
        <v>43</v>
      </c>
      <c r="K15" t="s">
        <v>46</v>
      </c>
    </row>
    <row r="16" spans="1:13" x14ac:dyDescent="0.3">
      <c r="A16">
        <v>7090</v>
      </c>
      <c r="B16" t="s">
        <v>42</v>
      </c>
      <c r="C16" t="s">
        <v>7</v>
      </c>
      <c r="D16" s="17">
        <v>45073</v>
      </c>
      <c r="E16" s="3">
        <v>0.78125</v>
      </c>
      <c r="F16" s="3">
        <f>IF(E16="","",E16+TIME(2,A638,0))</f>
        <v>0.86458333333333337</v>
      </c>
      <c r="H16" s="3" t="str">
        <f t="shared" si="0"/>
        <v/>
      </c>
      <c r="I16" s="3"/>
      <c r="J16" t="s">
        <v>43</v>
      </c>
      <c r="K16" t="s">
        <v>46</v>
      </c>
    </row>
    <row r="17" spans="1:12" x14ac:dyDescent="0.3">
      <c r="A17">
        <v>5615</v>
      </c>
      <c r="B17" t="s">
        <v>42</v>
      </c>
      <c r="C17" t="s">
        <v>4</v>
      </c>
      <c r="D17" s="4">
        <v>45462</v>
      </c>
      <c r="E17" s="3">
        <v>0.6479166666666667</v>
      </c>
      <c r="F17" s="3">
        <f>IF(E17="","",E17+TIME(2,A639,0))</f>
        <v>0.73125000000000007</v>
      </c>
      <c r="G17" s="3">
        <v>0.64930555555555558</v>
      </c>
      <c r="H17" s="3">
        <f t="shared" si="0"/>
        <v>0.73263888888888895</v>
      </c>
      <c r="I17" s="3">
        <f>G17-E17</f>
        <v>1.388888888888884E-3</v>
      </c>
      <c r="J17" t="s">
        <v>43</v>
      </c>
      <c r="K17" t="s">
        <v>46</v>
      </c>
    </row>
    <row r="18" spans="1:12" x14ac:dyDescent="0.3">
      <c r="A18">
        <v>5615</v>
      </c>
      <c r="B18" t="s">
        <v>42</v>
      </c>
      <c r="C18" t="s">
        <v>66</v>
      </c>
      <c r="D18" s="4">
        <v>45467</v>
      </c>
      <c r="E18" s="3">
        <v>0.3972222222222222</v>
      </c>
      <c r="F18" s="3">
        <f>IF(E18="","",E18+TIME(2,A640,0))</f>
        <v>0.48055555555555551</v>
      </c>
      <c r="G18" s="3">
        <v>0.39930555555555558</v>
      </c>
      <c r="H18" s="3">
        <f t="shared" si="0"/>
        <v>0.4826388888888889</v>
      </c>
      <c r="I18" s="3">
        <f>G18-E18</f>
        <v>2.0833333333333814E-3</v>
      </c>
      <c r="J18" t="s">
        <v>67</v>
      </c>
    </row>
    <row r="19" spans="1:12" x14ac:dyDescent="0.3">
      <c r="A19">
        <v>5615</v>
      </c>
      <c r="B19" t="s">
        <v>42</v>
      </c>
      <c r="C19" t="s">
        <v>2</v>
      </c>
      <c r="D19" s="4">
        <v>45474</v>
      </c>
      <c r="E19" s="3">
        <v>0.4284722222222222</v>
      </c>
      <c r="F19" s="3">
        <f>IF(E19="","",E19+TIME(2,A648,0))</f>
        <v>0.51180555555555551</v>
      </c>
      <c r="G19" s="3"/>
      <c r="H19" s="3" t="str">
        <f>IF(G19="","",G19+TIME(2,0,0))</f>
        <v/>
      </c>
      <c r="I19" s="3"/>
      <c r="J19" t="s">
        <v>67</v>
      </c>
    </row>
    <row r="20" spans="1:12" x14ac:dyDescent="0.3">
      <c r="A20">
        <v>5965</v>
      </c>
      <c r="B20" t="s">
        <v>68</v>
      </c>
      <c r="C20" t="s">
        <v>52</v>
      </c>
      <c r="D20" s="4">
        <v>45051</v>
      </c>
      <c r="E20" s="3">
        <v>0.53819444444444442</v>
      </c>
      <c r="F20" s="3">
        <f t="shared" ref="F20:F33" si="1">IF(E20="","",E20+TIME(2,A642,0))</f>
        <v>0.62152777777777779</v>
      </c>
      <c r="H20" s="3" t="str">
        <f t="shared" si="0"/>
        <v/>
      </c>
      <c r="I20" s="3"/>
      <c r="J20" t="s">
        <v>43</v>
      </c>
      <c r="K20" t="s">
        <v>45</v>
      </c>
      <c r="L20" t="s">
        <v>72</v>
      </c>
    </row>
    <row r="21" spans="1:12" x14ac:dyDescent="0.3">
      <c r="A21">
        <v>5965</v>
      </c>
      <c r="B21" t="s">
        <v>68</v>
      </c>
      <c r="C21" t="s">
        <v>66</v>
      </c>
      <c r="D21" s="4">
        <v>45075</v>
      </c>
      <c r="E21" s="3">
        <v>0.2326388888888889</v>
      </c>
      <c r="F21" s="3">
        <f t="shared" si="1"/>
        <v>0.31597222222222221</v>
      </c>
      <c r="H21" s="3" t="str">
        <f t="shared" si="0"/>
        <v/>
      </c>
      <c r="I21" s="3"/>
      <c r="J21" t="s">
        <v>43</v>
      </c>
      <c r="K21" t="s">
        <v>70</v>
      </c>
    </row>
    <row r="22" spans="1:12" x14ac:dyDescent="0.3">
      <c r="A22">
        <v>5965</v>
      </c>
      <c r="B22" t="s">
        <v>68</v>
      </c>
      <c r="C22" t="s">
        <v>69</v>
      </c>
      <c r="D22" s="4">
        <v>45069</v>
      </c>
      <c r="E22" s="3">
        <v>0.64097222222222228</v>
      </c>
      <c r="F22" s="3">
        <f t="shared" si="1"/>
        <v>0.72430555555555565</v>
      </c>
      <c r="H22" s="3" t="str">
        <f t="shared" si="0"/>
        <v/>
      </c>
      <c r="I22" s="3"/>
      <c r="J22" t="s">
        <v>43</v>
      </c>
      <c r="K22" t="s">
        <v>44</v>
      </c>
    </row>
    <row r="23" spans="1:12" x14ac:dyDescent="0.3">
      <c r="A23">
        <v>5965</v>
      </c>
      <c r="B23" t="s">
        <v>68</v>
      </c>
      <c r="C23" t="s">
        <v>5</v>
      </c>
      <c r="D23" s="4">
        <v>45078</v>
      </c>
      <c r="E23" s="3">
        <v>0.62291666666666667</v>
      </c>
      <c r="F23" s="3">
        <f t="shared" si="1"/>
        <v>0.70625000000000004</v>
      </c>
      <c r="H23" s="3" t="str">
        <f t="shared" si="0"/>
        <v/>
      </c>
      <c r="I23" s="3"/>
      <c r="J23" t="s">
        <v>43</v>
      </c>
      <c r="K23" t="s">
        <v>45</v>
      </c>
    </row>
    <row r="24" spans="1:12" x14ac:dyDescent="0.3">
      <c r="A24">
        <v>5965</v>
      </c>
      <c r="B24" t="s">
        <v>68</v>
      </c>
      <c r="C24" t="s">
        <v>4</v>
      </c>
      <c r="D24" s="4">
        <v>45084</v>
      </c>
      <c r="E24" s="3">
        <v>0.67013888888888884</v>
      </c>
      <c r="F24" s="3">
        <f t="shared" si="1"/>
        <v>0.75347222222222221</v>
      </c>
      <c r="G24" s="3">
        <v>0.68055555555555558</v>
      </c>
      <c r="H24" s="3">
        <f t="shared" si="0"/>
        <v>0.76388888888888895</v>
      </c>
      <c r="I24" s="3">
        <f>G24-E24</f>
        <v>1.0416666666666741E-2</v>
      </c>
      <c r="J24" t="s">
        <v>43</v>
      </c>
      <c r="K24" t="s">
        <v>44</v>
      </c>
    </row>
    <row r="25" spans="1:12" x14ac:dyDescent="0.3">
      <c r="A25">
        <v>5965</v>
      </c>
      <c r="B25" t="s">
        <v>68</v>
      </c>
      <c r="C25" t="s">
        <v>66</v>
      </c>
      <c r="D25" s="4">
        <v>45082</v>
      </c>
      <c r="E25" s="3">
        <v>0.72222222222222221</v>
      </c>
      <c r="F25" s="3">
        <f t="shared" si="1"/>
        <v>0.80555555555555558</v>
      </c>
      <c r="G25" s="3">
        <v>0.7319444444444444</v>
      </c>
      <c r="H25" s="3">
        <f t="shared" si="0"/>
        <v>0.81527777777777777</v>
      </c>
      <c r="I25" s="3">
        <f>G25-E25</f>
        <v>9.7222222222221877E-3</v>
      </c>
      <c r="J25" t="s">
        <v>43</v>
      </c>
      <c r="K25" t="s">
        <v>44</v>
      </c>
    </row>
    <row r="26" spans="1:12" x14ac:dyDescent="0.3">
      <c r="A26">
        <v>5965</v>
      </c>
      <c r="B26" t="s">
        <v>68</v>
      </c>
      <c r="C26" t="s">
        <v>6</v>
      </c>
      <c r="D26" s="4">
        <v>45086</v>
      </c>
      <c r="E26" s="3">
        <v>0.16319444444444445</v>
      </c>
      <c r="F26" s="3">
        <f t="shared" si="1"/>
        <v>0.24652777777777779</v>
      </c>
      <c r="H26" s="3" t="str">
        <f t="shared" si="0"/>
        <v/>
      </c>
      <c r="I26" s="3"/>
      <c r="J26" t="s">
        <v>43</v>
      </c>
      <c r="K26" t="s">
        <v>70</v>
      </c>
    </row>
    <row r="27" spans="1:12" x14ac:dyDescent="0.3">
      <c r="A27">
        <v>5965</v>
      </c>
      <c r="B27" t="s">
        <v>68</v>
      </c>
      <c r="C27" t="s">
        <v>6</v>
      </c>
      <c r="D27" s="4">
        <v>45093</v>
      </c>
      <c r="E27" s="3">
        <v>0.69166666666666665</v>
      </c>
      <c r="F27" s="3">
        <f t="shared" si="1"/>
        <v>0.77500000000000002</v>
      </c>
      <c r="G27" s="3">
        <v>0.70208333333333328</v>
      </c>
      <c r="H27" s="3">
        <f t="shared" si="0"/>
        <v>0.78541666666666665</v>
      </c>
      <c r="I27" s="3">
        <f t="shared" ref="I27:I46" si="2">G27-E27</f>
        <v>1.041666666666663E-2</v>
      </c>
      <c r="J27" t="s">
        <v>43</v>
      </c>
      <c r="K27" t="s">
        <v>44</v>
      </c>
    </row>
    <row r="28" spans="1:12" x14ac:dyDescent="0.3">
      <c r="A28">
        <v>5965</v>
      </c>
      <c r="B28" t="s">
        <v>68</v>
      </c>
      <c r="C28" t="s">
        <v>4</v>
      </c>
      <c r="D28" s="4">
        <v>45098</v>
      </c>
      <c r="E28" s="3">
        <v>0.72222222222222221</v>
      </c>
      <c r="F28" s="3">
        <f t="shared" si="1"/>
        <v>0.80555555555555558</v>
      </c>
      <c r="G28" s="3">
        <v>0.74930555555555556</v>
      </c>
      <c r="H28" s="3">
        <f t="shared" si="0"/>
        <v>0.83263888888888893</v>
      </c>
      <c r="I28" s="3">
        <f t="shared" si="2"/>
        <v>2.7083333333333348E-2</v>
      </c>
      <c r="J28" t="s">
        <v>43</v>
      </c>
      <c r="K28" t="s">
        <v>44</v>
      </c>
    </row>
    <row r="29" spans="1:12" x14ac:dyDescent="0.3">
      <c r="A29">
        <v>5965</v>
      </c>
      <c r="B29" t="s">
        <v>68</v>
      </c>
      <c r="C29" t="s">
        <v>8</v>
      </c>
      <c r="D29" s="4">
        <v>45102</v>
      </c>
      <c r="E29" s="3">
        <v>0.18194444444444444</v>
      </c>
      <c r="F29" s="3">
        <f t="shared" si="1"/>
        <v>0.26527777777777778</v>
      </c>
      <c r="G29" s="3">
        <v>0.18541666666666667</v>
      </c>
      <c r="H29" s="3">
        <f t="shared" si="0"/>
        <v>0.26874999999999999</v>
      </c>
      <c r="I29" s="3">
        <f t="shared" si="2"/>
        <v>3.4722222222222376E-3</v>
      </c>
      <c r="J29" t="s">
        <v>67</v>
      </c>
      <c r="K29" t="s">
        <v>70</v>
      </c>
    </row>
    <row r="30" spans="1:12" x14ac:dyDescent="0.3">
      <c r="A30">
        <v>5965</v>
      </c>
      <c r="B30" t="s">
        <v>68</v>
      </c>
      <c r="C30" t="s">
        <v>52</v>
      </c>
      <c r="D30" s="4">
        <v>45100</v>
      </c>
      <c r="E30" s="3">
        <v>0.70486111111111116</v>
      </c>
      <c r="F30" s="3">
        <f t="shared" si="1"/>
        <v>0.78819444444444453</v>
      </c>
      <c r="G30" s="3">
        <v>0.7680555555555556</v>
      </c>
      <c r="H30" s="3">
        <f t="shared" si="0"/>
        <v>0.85138888888888897</v>
      </c>
      <c r="I30" s="3">
        <f t="shared" si="2"/>
        <v>6.3194444444444442E-2</v>
      </c>
      <c r="J30" t="s">
        <v>43</v>
      </c>
      <c r="K30" t="s">
        <v>44</v>
      </c>
    </row>
    <row r="31" spans="1:12" x14ac:dyDescent="0.3">
      <c r="A31">
        <v>5965</v>
      </c>
      <c r="B31" t="s">
        <v>68</v>
      </c>
      <c r="C31" t="s">
        <v>3</v>
      </c>
      <c r="D31" s="4">
        <v>45104</v>
      </c>
      <c r="E31" s="3">
        <v>0.6694444444444444</v>
      </c>
      <c r="F31" s="3">
        <f t="shared" si="1"/>
        <v>0.75277777777777777</v>
      </c>
      <c r="G31" s="3">
        <v>0.72430555555555554</v>
      </c>
      <c r="H31" s="3">
        <f t="shared" si="0"/>
        <v>0.80763888888888891</v>
      </c>
      <c r="I31" s="3">
        <f t="shared" si="2"/>
        <v>5.4861111111111138E-2</v>
      </c>
      <c r="J31" t="s">
        <v>43</v>
      </c>
      <c r="K31" t="s">
        <v>44</v>
      </c>
    </row>
    <row r="32" spans="1:12" x14ac:dyDescent="0.3">
      <c r="A32">
        <v>5965</v>
      </c>
      <c r="B32" t="s">
        <v>68</v>
      </c>
      <c r="C32" t="s">
        <v>4</v>
      </c>
      <c r="D32" s="4">
        <v>45105</v>
      </c>
      <c r="E32" s="3">
        <v>0.20277777777777778</v>
      </c>
      <c r="F32" s="3">
        <f t="shared" si="1"/>
        <v>0.28611111111111109</v>
      </c>
      <c r="G32" s="3">
        <v>0.21944444444444444</v>
      </c>
      <c r="H32" s="3">
        <f t="shared" si="0"/>
        <v>0.30277777777777776</v>
      </c>
      <c r="I32" s="3">
        <f t="shared" si="2"/>
        <v>1.6666666666666663E-2</v>
      </c>
      <c r="J32" t="s">
        <v>43</v>
      </c>
      <c r="K32" t="s">
        <v>70</v>
      </c>
    </row>
    <row r="33" spans="1:12" x14ac:dyDescent="0.3">
      <c r="A33">
        <v>5965</v>
      </c>
      <c r="B33" t="s">
        <v>68</v>
      </c>
      <c r="C33" t="s">
        <v>4</v>
      </c>
      <c r="D33" s="4">
        <v>45105</v>
      </c>
      <c r="E33" s="3">
        <v>0.6645833333333333</v>
      </c>
      <c r="F33" s="3">
        <f t="shared" si="1"/>
        <v>0.74791666666666667</v>
      </c>
      <c r="G33" s="3">
        <v>0.74305555555555558</v>
      </c>
      <c r="H33" s="3">
        <f t="shared" si="0"/>
        <v>0.82638888888888895</v>
      </c>
      <c r="I33" s="3">
        <f t="shared" si="2"/>
        <v>7.8472222222222276E-2</v>
      </c>
      <c r="J33" t="s">
        <v>43</v>
      </c>
      <c r="K33" t="s">
        <v>44</v>
      </c>
    </row>
    <row r="34" spans="1:12" x14ac:dyDescent="0.3">
      <c r="A34">
        <v>5965</v>
      </c>
      <c r="B34" t="s">
        <v>68</v>
      </c>
      <c r="C34" t="s">
        <v>3</v>
      </c>
      <c r="D34" s="4">
        <v>45139</v>
      </c>
      <c r="E34" s="3">
        <v>0.19513888888888889</v>
      </c>
      <c r="F34" s="3">
        <f>IF(E34="","",E34+TIME(2,A664,0))</f>
        <v>0.27847222222222223</v>
      </c>
      <c r="G34" s="3"/>
      <c r="H34" s="3" t="str">
        <f t="shared" ref="H34:H45" si="3">IF(G34="","",G34+TIME(2,0,0))</f>
        <v/>
      </c>
      <c r="I34" s="3"/>
      <c r="J34" t="s">
        <v>43</v>
      </c>
      <c r="K34" t="s">
        <v>78</v>
      </c>
    </row>
    <row r="35" spans="1:12" x14ac:dyDescent="0.3">
      <c r="A35">
        <v>5965</v>
      </c>
      <c r="B35" t="s">
        <v>68</v>
      </c>
      <c r="C35" t="s">
        <v>69</v>
      </c>
      <c r="D35" s="4">
        <v>45125</v>
      </c>
      <c r="E35" s="3">
        <v>0.22916666666666666</v>
      </c>
      <c r="F35" s="3">
        <f>IF(E35="","",E35+TIME(2,A664,0))</f>
        <v>0.3125</v>
      </c>
      <c r="G35" s="3"/>
      <c r="H35" s="3" t="str">
        <f t="shared" si="3"/>
        <v/>
      </c>
      <c r="I35" s="3"/>
      <c r="J35" t="s">
        <v>43</v>
      </c>
      <c r="K35" t="s">
        <v>70</v>
      </c>
    </row>
    <row r="36" spans="1:12" x14ac:dyDescent="0.3">
      <c r="A36">
        <v>5965</v>
      </c>
      <c r="B36" t="s">
        <v>68</v>
      </c>
      <c r="C36" t="s">
        <v>4</v>
      </c>
      <c r="D36" s="4">
        <v>45126</v>
      </c>
      <c r="E36" s="3">
        <v>0.22083333333333333</v>
      </c>
      <c r="F36" s="3">
        <f>IF(E36="","",E36+TIME(2,A664,0))</f>
        <v>0.30416666666666664</v>
      </c>
      <c r="G36" s="3"/>
      <c r="H36" s="3" t="str">
        <f t="shared" si="3"/>
        <v/>
      </c>
      <c r="I36" s="3"/>
      <c r="J36" t="s">
        <v>43</v>
      </c>
      <c r="K36" t="s">
        <v>70</v>
      </c>
    </row>
    <row r="37" spans="1:12" x14ac:dyDescent="0.3">
      <c r="A37">
        <v>5965</v>
      </c>
      <c r="B37" t="s">
        <v>68</v>
      </c>
      <c r="C37" t="s">
        <v>2</v>
      </c>
      <c r="D37" s="4">
        <v>45138</v>
      </c>
      <c r="E37" s="3">
        <v>0.68125000000000002</v>
      </c>
      <c r="F37" s="3">
        <f>IF(E37="","",E37+TIME(2,A664,0))</f>
        <v>0.76458333333333339</v>
      </c>
      <c r="G37" s="3"/>
      <c r="H37" s="3" t="str">
        <f t="shared" si="3"/>
        <v/>
      </c>
      <c r="I37" s="3"/>
      <c r="J37" t="s">
        <v>43</v>
      </c>
      <c r="K37" t="s">
        <v>45</v>
      </c>
    </row>
    <row r="38" spans="1:12" x14ac:dyDescent="0.3">
      <c r="A38">
        <v>5965</v>
      </c>
      <c r="B38" t="s">
        <v>68</v>
      </c>
      <c r="C38" t="s">
        <v>7</v>
      </c>
      <c r="D38" s="4">
        <v>45129</v>
      </c>
      <c r="E38" s="3">
        <v>0.75624999999999998</v>
      </c>
      <c r="F38" s="3">
        <f>IF(E38="","",E38+TIME(2,A667,0))</f>
        <v>0.83958333333333335</v>
      </c>
      <c r="G38" s="3"/>
      <c r="H38" s="3" t="str">
        <f t="shared" si="3"/>
        <v/>
      </c>
      <c r="I38" s="3"/>
      <c r="J38" t="s">
        <v>43</v>
      </c>
      <c r="K38" t="s">
        <v>44</v>
      </c>
    </row>
    <row r="39" spans="1:12" x14ac:dyDescent="0.3">
      <c r="A39">
        <v>5965</v>
      </c>
      <c r="B39" t="s">
        <v>68</v>
      </c>
      <c r="C39" t="s">
        <v>5</v>
      </c>
      <c r="D39" s="4">
        <v>45127</v>
      </c>
      <c r="E39" s="3">
        <v>0.69444444444444442</v>
      </c>
      <c r="F39" s="3">
        <f>IF(E39="","",E39+TIME(2,A664,0))</f>
        <v>0.77777777777777779</v>
      </c>
      <c r="G39" s="3"/>
      <c r="H39" s="3" t="str">
        <f t="shared" si="3"/>
        <v/>
      </c>
      <c r="I39" s="3"/>
      <c r="J39" t="s">
        <v>43</v>
      </c>
      <c r="K39" t="s">
        <v>44</v>
      </c>
    </row>
    <row r="40" spans="1:12" x14ac:dyDescent="0.3">
      <c r="A40">
        <v>5965</v>
      </c>
      <c r="B40" t="s">
        <v>68</v>
      </c>
      <c r="C40" t="s">
        <v>4</v>
      </c>
      <c r="D40" s="4">
        <v>45133</v>
      </c>
      <c r="E40" s="3">
        <v>0.67777777777777781</v>
      </c>
      <c r="F40" s="3">
        <f>IF(E40="","",E40+TIME(2,A668,0))</f>
        <v>0.76111111111111118</v>
      </c>
      <c r="G40" s="3"/>
      <c r="H40" s="3" t="str">
        <f t="shared" si="3"/>
        <v/>
      </c>
      <c r="I40" s="3"/>
      <c r="J40" t="s">
        <v>43</v>
      </c>
      <c r="K40" t="s">
        <v>44</v>
      </c>
    </row>
    <row r="41" spans="1:12" x14ac:dyDescent="0.3">
      <c r="A41">
        <v>5965</v>
      </c>
      <c r="B41" t="s">
        <v>68</v>
      </c>
      <c r="C41" t="s">
        <v>2</v>
      </c>
      <c r="D41" s="4">
        <v>45131</v>
      </c>
      <c r="E41" s="3">
        <v>0.69513888888888886</v>
      </c>
      <c r="F41" s="3">
        <f>IF(E41="","",E41+TIME(2,A668,0))</f>
        <v>0.77847222222222223</v>
      </c>
      <c r="G41" s="3"/>
      <c r="H41" s="3" t="str">
        <f t="shared" si="3"/>
        <v/>
      </c>
      <c r="I41" s="3"/>
      <c r="J41" t="s">
        <v>43</v>
      </c>
      <c r="K41" t="s">
        <v>44</v>
      </c>
    </row>
    <row r="42" spans="1:12" x14ac:dyDescent="0.3">
      <c r="A42">
        <v>5965</v>
      </c>
      <c r="B42" t="s">
        <v>68</v>
      </c>
      <c r="C42" t="s">
        <v>5</v>
      </c>
      <c r="D42" s="4">
        <v>45113</v>
      </c>
      <c r="E42" s="3">
        <v>0.51458333333333328</v>
      </c>
      <c r="F42" s="3">
        <f>IF(E42="","",E42+TIME(2,A664,0))</f>
        <v>0.59791666666666665</v>
      </c>
      <c r="G42" s="3"/>
      <c r="H42" s="3" t="str">
        <f t="shared" si="3"/>
        <v/>
      </c>
      <c r="I42" s="3"/>
      <c r="J42" t="s">
        <v>43</v>
      </c>
      <c r="K42" t="s">
        <v>45</v>
      </c>
    </row>
    <row r="43" spans="1:12" x14ac:dyDescent="0.3">
      <c r="A43">
        <v>5965</v>
      </c>
      <c r="B43" t="s">
        <v>68</v>
      </c>
      <c r="C43" t="s">
        <v>2</v>
      </c>
      <c r="D43" s="4">
        <v>45124</v>
      </c>
      <c r="E43" s="3">
        <v>0.71458333333333335</v>
      </c>
      <c r="F43" s="3">
        <f>IF(E43="","",E43+TIME(2,A669,0))</f>
        <v>0.79791666666666672</v>
      </c>
      <c r="G43" s="3"/>
      <c r="H43" s="3" t="str">
        <f t="shared" si="3"/>
        <v/>
      </c>
      <c r="I43" s="3"/>
      <c r="J43" t="s">
        <v>43</v>
      </c>
      <c r="K43" t="s">
        <v>44</v>
      </c>
    </row>
    <row r="44" spans="1:12" x14ac:dyDescent="0.3">
      <c r="A44">
        <v>5965</v>
      </c>
      <c r="B44" t="s">
        <v>68</v>
      </c>
      <c r="C44" t="s">
        <v>8</v>
      </c>
      <c r="D44" s="4">
        <v>45130</v>
      </c>
      <c r="E44" s="3">
        <v>0.6958333333333333</v>
      </c>
      <c r="F44" s="3">
        <f>IF(E44="","",E44+TIME(2,A664,0))</f>
        <v>0.77916666666666667</v>
      </c>
      <c r="G44" s="3"/>
      <c r="H44" s="3" t="str">
        <f t="shared" si="3"/>
        <v/>
      </c>
      <c r="I44" s="3"/>
      <c r="J44" t="s">
        <v>67</v>
      </c>
    </row>
    <row r="45" spans="1:12" x14ac:dyDescent="0.3">
      <c r="A45">
        <v>5965</v>
      </c>
      <c r="B45" t="s">
        <v>68</v>
      </c>
      <c r="C45" t="s">
        <v>3</v>
      </c>
      <c r="D45" s="4">
        <v>45111</v>
      </c>
      <c r="E45" s="3">
        <v>0.56944444444444442</v>
      </c>
      <c r="F45" s="3">
        <f>IF(E45="","",E45+TIME(2,A674,0))</f>
        <v>0.65277777777777779</v>
      </c>
      <c r="G45" s="3"/>
      <c r="H45" s="3" t="str">
        <f t="shared" si="3"/>
        <v/>
      </c>
      <c r="I45" s="3"/>
      <c r="J45" t="s">
        <v>43</v>
      </c>
      <c r="K45" t="s">
        <v>45</v>
      </c>
    </row>
    <row r="46" spans="1:12" x14ac:dyDescent="0.3">
      <c r="A46">
        <v>5557</v>
      </c>
      <c r="B46" t="s">
        <v>42</v>
      </c>
      <c r="C46" t="s">
        <v>4</v>
      </c>
      <c r="D46" s="4">
        <v>45077</v>
      </c>
      <c r="E46" s="3">
        <v>0.74652777777777779</v>
      </c>
      <c r="F46" s="3">
        <f t="shared" ref="F46:F56" si="4">IF(E46="","",E46+TIME(2,A656,0))</f>
        <v>0.82986111111111116</v>
      </c>
      <c r="G46" s="3">
        <v>0.75</v>
      </c>
      <c r="H46" s="3">
        <f t="shared" si="0"/>
        <v>0.83333333333333337</v>
      </c>
      <c r="I46" s="3">
        <f t="shared" si="2"/>
        <v>3.4722222222222099E-3</v>
      </c>
      <c r="J46" t="s">
        <v>43</v>
      </c>
      <c r="K46" t="s">
        <v>44</v>
      </c>
      <c r="L46" t="s">
        <v>72</v>
      </c>
    </row>
    <row r="47" spans="1:12" x14ac:dyDescent="0.3">
      <c r="A47">
        <v>5557</v>
      </c>
      <c r="B47" t="s">
        <v>42</v>
      </c>
      <c r="C47" t="s">
        <v>6</v>
      </c>
      <c r="D47" s="4">
        <v>45079</v>
      </c>
      <c r="E47" s="3">
        <v>0.57291666666666663</v>
      </c>
      <c r="F47" s="3">
        <f t="shared" si="4"/>
        <v>0.65625</v>
      </c>
      <c r="G47" s="3">
        <v>0.64375000000000004</v>
      </c>
      <c r="H47" s="3">
        <f t="shared" si="0"/>
        <v>0.72708333333333341</v>
      </c>
      <c r="I47" s="3"/>
      <c r="J47" t="s">
        <v>43</v>
      </c>
      <c r="K47" t="s">
        <v>45</v>
      </c>
    </row>
    <row r="48" spans="1:12" x14ac:dyDescent="0.3">
      <c r="A48">
        <v>5557</v>
      </c>
      <c r="B48" t="s">
        <v>42</v>
      </c>
      <c r="C48" t="s">
        <v>3</v>
      </c>
      <c r="D48" s="4">
        <v>45083</v>
      </c>
      <c r="E48" s="3">
        <v>0.11597222222222223</v>
      </c>
      <c r="F48" s="3">
        <f t="shared" si="4"/>
        <v>0.19930555555555557</v>
      </c>
      <c r="H48" s="3" t="str">
        <f t="shared" si="0"/>
        <v/>
      </c>
      <c r="I48" s="3"/>
      <c r="J48" t="s">
        <v>43</v>
      </c>
      <c r="K48" t="s">
        <v>70</v>
      </c>
    </row>
    <row r="49" spans="1:13" x14ac:dyDescent="0.3">
      <c r="A49">
        <v>5557</v>
      </c>
      <c r="B49" t="s">
        <v>42</v>
      </c>
      <c r="C49" t="s">
        <v>4</v>
      </c>
      <c r="D49" s="4">
        <v>45084</v>
      </c>
      <c r="E49" s="3">
        <v>0.66736111111111107</v>
      </c>
      <c r="F49" s="3">
        <f t="shared" si="4"/>
        <v>0.75069444444444444</v>
      </c>
      <c r="H49" s="3" t="str">
        <f t="shared" si="0"/>
        <v/>
      </c>
      <c r="I49" s="3"/>
      <c r="J49" t="s">
        <v>43</v>
      </c>
      <c r="K49" t="s">
        <v>44</v>
      </c>
    </row>
    <row r="50" spans="1:13" x14ac:dyDescent="0.3">
      <c r="A50">
        <v>5557</v>
      </c>
      <c r="B50" t="s">
        <v>42</v>
      </c>
      <c r="C50" t="s">
        <v>66</v>
      </c>
      <c r="D50" s="4">
        <v>45089</v>
      </c>
      <c r="E50" s="3">
        <v>8.2638888888888887E-2</v>
      </c>
      <c r="F50" s="3">
        <f t="shared" si="4"/>
        <v>0.16597222222222222</v>
      </c>
      <c r="H50" s="3" t="str">
        <f t="shared" si="0"/>
        <v/>
      </c>
      <c r="I50" s="3"/>
      <c r="J50" t="s">
        <v>67</v>
      </c>
      <c r="K50" t="s">
        <v>70</v>
      </c>
    </row>
    <row r="51" spans="1:13" x14ac:dyDescent="0.3">
      <c r="A51">
        <v>5557</v>
      </c>
      <c r="B51" t="s">
        <v>68</v>
      </c>
      <c r="C51" t="s">
        <v>66</v>
      </c>
      <c r="D51" s="4">
        <v>45096</v>
      </c>
      <c r="E51" s="3">
        <v>0.48680555555555555</v>
      </c>
      <c r="F51" s="3">
        <f t="shared" si="4"/>
        <v>0.57013888888888886</v>
      </c>
      <c r="H51" s="3" t="str">
        <f t="shared" si="0"/>
        <v/>
      </c>
      <c r="I51" s="3"/>
      <c r="J51" t="s">
        <v>43</v>
      </c>
      <c r="K51" t="s">
        <v>45</v>
      </c>
    </row>
    <row r="52" spans="1:13" x14ac:dyDescent="0.3">
      <c r="A52">
        <v>5557</v>
      </c>
      <c r="B52" t="s">
        <v>68</v>
      </c>
      <c r="C52" t="s">
        <v>5</v>
      </c>
      <c r="D52" s="4">
        <v>45099</v>
      </c>
      <c r="E52" s="3">
        <v>0.71319444444444446</v>
      </c>
      <c r="F52" s="3">
        <f t="shared" si="4"/>
        <v>0.79652777777777783</v>
      </c>
      <c r="H52" s="3" t="str">
        <f t="shared" si="0"/>
        <v/>
      </c>
      <c r="I52" s="3"/>
      <c r="J52" t="s">
        <v>43</v>
      </c>
      <c r="K52" t="s">
        <v>44</v>
      </c>
    </row>
    <row r="53" spans="1:13" x14ac:dyDescent="0.3">
      <c r="A53">
        <v>5557</v>
      </c>
      <c r="B53" t="s">
        <v>68</v>
      </c>
      <c r="C53" t="s">
        <v>7</v>
      </c>
      <c r="D53" s="4">
        <v>45101</v>
      </c>
      <c r="E53" s="3">
        <v>0.12847222222222221</v>
      </c>
      <c r="F53" s="3">
        <f t="shared" si="4"/>
        <v>0.21180555555555552</v>
      </c>
      <c r="H53" s="3" t="str">
        <f t="shared" ref="H53:H93" si="5">IF(G53="","",G53+TIME(2,0,0))</f>
        <v/>
      </c>
      <c r="I53" s="3"/>
      <c r="J53" t="s">
        <v>43</v>
      </c>
      <c r="K53" t="s">
        <v>70</v>
      </c>
    </row>
    <row r="54" spans="1:13" x14ac:dyDescent="0.3">
      <c r="A54">
        <v>5557</v>
      </c>
      <c r="B54" t="s">
        <v>68</v>
      </c>
      <c r="C54" t="s">
        <v>8</v>
      </c>
      <c r="D54" s="4">
        <v>45102</v>
      </c>
      <c r="E54" s="3">
        <v>0.10833333333333334</v>
      </c>
      <c r="F54" s="3">
        <f t="shared" si="4"/>
        <v>0.19166666666666665</v>
      </c>
      <c r="H54" s="3" t="str">
        <f t="shared" si="5"/>
        <v/>
      </c>
      <c r="I54" s="3"/>
      <c r="J54" t="s">
        <v>67</v>
      </c>
    </row>
    <row r="55" spans="1:13" x14ac:dyDescent="0.3">
      <c r="A55">
        <v>5557</v>
      </c>
      <c r="B55" t="s">
        <v>68</v>
      </c>
      <c r="C55" t="s">
        <v>3</v>
      </c>
      <c r="D55" s="4">
        <v>45104</v>
      </c>
      <c r="E55" s="3">
        <v>0.1111111111111111</v>
      </c>
      <c r="F55" s="3">
        <f t="shared" si="4"/>
        <v>0.19444444444444442</v>
      </c>
      <c r="H55" s="3" t="str">
        <f t="shared" si="5"/>
        <v/>
      </c>
      <c r="I55" s="3"/>
      <c r="J55" t="s">
        <v>43</v>
      </c>
      <c r="K55" t="s">
        <v>70</v>
      </c>
    </row>
    <row r="56" spans="1:13" x14ac:dyDescent="0.3">
      <c r="A56">
        <v>5557</v>
      </c>
      <c r="B56" t="s">
        <v>68</v>
      </c>
      <c r="C56" t="s">
        <v>4</v>
      </c>
      <c r="D56" s="4">
        <v>45105</v>
      </c>
      <c r="E56" s="3">
        <v>0.7895833333333333</v>
      </c>
      <c r="F56" s="3">
        <f t="shared" si="4"/>
        <v>0.87291666666666667</v>
      </c>
      <c r="H56" s="3" t="str">
        <f t="shared" si="5"/>
        <v/>
      </c>
      <c r="I56" s="3"/>
      <c r="J56" t="s">
        <v>43</v>
      </c>
      <c r="K56" t="s">
        <v>44</v>
      </c>
    </row>
    <row r="57" spans="1:13" x14ac:dyDescent="0.3">
      <c r="A57">
        <v>5557</v>
      </c>
      <c r="B57" t="s">
        <v>68</v>
      </c>
      <c r="C57" t="s">
        <v>2</v>
      </c>
      <c r="D57" s="4">
        <v>45110</v>
      </c>
      <c r="E57" s="3">
        <v>0.3298611111111111</v>
      </c>
      <c r="F57" s="3">
        <f>IF(E57="","",E57+TIME(2,A686,0))</f>
        <v>0.41319444444444442</v>
      </c>
      <c r="H57" s="3" t="str">
        <f>IF(G57="","",G57+TIME(2,0,0))</f>
        <v/>
      </c>
      <c r="I57" s="3"/>
      <c r="J57" t="s">
        <v>43</v>
      </c>
      <c r="K57" t="s">
        <v>45</v>
      </c>
    </row>
    <row r="58" spans="1:13" x14ac:dyDescent="0.3">
      <c r="A58">
        <v>5557</v>
      </c>
      <c r="B58" t="s">
        <v>68</v>
      </c>
      <c r="C58" t="s">
        <v>5</v>
      </c>
      <c r="D58" s="4">
        <v>45113</v>
      </c>
      <c r="E58" s="3">
        <v>0.68333333333333335</v>
      </c>
      <c r="F58" s="3">
        <f>IF(E58="","",E58+TIME(2,A686,0))</f>
        <v>0.76666666666666672</v>
      </c>
      <c r="H58" s="3" t="str">
        <f>IF(G58="","",G58+TIME(2,0,0))</f>
        <v/>
      </c>
      <c r="I58" s="3"/>
      <c r="J58" t="s">
        <v>43</v>
      </c>
      <c r="K58" t="s">
        <v>46</v>
      </c>
    </row>
    <row r="59" spans="1:13" x14ac:dyDescent="0.3">
      <c r="A59">
        <v>5579</v>
      </c>
      <c r="B59" t="s">
        <v>73</v>
      </c>
      <c r="C59" t="s">
        <v>5</v>
      </c>
      <c r="D59" s="4">
        <v>45050</v>
      </c>
      <c r="E59" s="3">
        <v>0.71944444444444444</v>
      </c>
      <c r="F59" s="3">
        <f t="shared" ref="F59:F75" si="6">IF(E59="","",E59+TIME(2,A667,0))</f>
        <v>0.80277777777777781</v>
      </c>
      <c r="G59" s="3">
        <v>0.72291666666666665</v>
      </c>
      <c r="H59" s="3">
        <f t="shared" si="5"/>
        <v>0.80625000000000002</v>
      </c>
      <c r="I59" s="3">
        <f>G59-E59</f>
        <v>3.4722222222222099E-3</v>
      </c>
      <c r="J59" t="s">
        <v>67</v>
      </c>
      <c r="L59" t="s">
        <v>76</v>
      </c>
    </row>
    <row r="60" spans="1:13" x14ac:dyDescent="0.3">
      <c r="A60">
        <v>5579</v>
      </c>
      <c r="B60" t="s">
        <v>73</v>
      </c>
      <c r="C60" t="s">
        <v>52</v>
      </c>
      <c r="D60" s="4">
        <v>45051</v>
      </c>
      <c r="E60" s="3">
        <v>0.21805555555555556</v>
      </c>
      <c r="F60" s="3">
        <f t="shared" si="6"/>
        <v>0.30138888888888887</v>
      </c>
      <c r="H60" s="3" t="str">
        <f t="shared" si="5"/>
        <v/>
      </c>
      <c r="I60" s="3"/>
      <c r="J60" t="s">
        <v>67</v>
      </c>
      <c r="M60" t="s">
        <v>77</v>
      </c>
    </row>
    <row r="61" spans="1:13" x14ac:dyDescent="0.3">
      <c r="A61">
        <v>5579</v>
      </c>
      <c r="B61" t="s">
        <v>73</v>
      </c>
      <c r="C61" t="s">
        <v>74</v>
      </c>
      <c r="D61" s="4">
        <v>45070</v>
      </c>
      <c r="E61" s="3">
        <v>0.60277777777777775</v>
      </c>
      <c r="F61" s="3">
        <f t="shared" si="6"/>
        <v>0.68611111111111112</v>
      </c>
      <c r="H61" s="3" t="str">
        <f t="shared" si="5"/>
        <v/>
      </c>
      <c r="I61" s="3"/>
      <c r="J61" t="s">
        <v>43</v>
      </c>
      <c r="K61" t="s">
        <v>45</v>
      </c>
    </row>
    <row r="62" spans="1:13" x14ac:dyDescent="0.3">
      <c r="A62">
        <v>5579</v>
      </c>
      <c r="B62" t="s">
        <v>73</v>
      </c>
      <c r="C62" t="s">
        <v>7</v>
      </c>
      <c r="D62" s="4">
        <v>45066</v>
      </c>
      <c r="E62" s="3">
        <v>0.79583333333333328</v>
      </c>
      <c r="F62" s="3">
        <f t="shared" si="6"/>
        <v>0.87916666666666665</v>
      </c>
      <c r="H62" s="3" t="str">
        <f t="shared" si="5"/>
        <v/>
      </c>
      <c r="I62" s="3"/>
      <c r="J62" t="s">
        <v>67</v>
      </c>
    </row>
    <row r="63" spans="1:13" x14ac:dyDescent="0.3">
      <c r="A63">
        <v>5579</v>
      </c>
      <c r="B63" t="s">
        <v>73</v>
      </c>
      <c r="C63" t="s">
        <v>75</v>
      </c>
      <c r="D63" s="4">
        <v>45060</v>
      </c>
      <c r="E63" s="3">
        <v>0.55000000000000004</v>
      </c>
      <c r="F63" s="3">
        <f t="shared" si="6"/>
        <v>0.63333333333333341</v>
      </c>
      <c r="H63" s="3" t="str">
        <f t="shared" si="5"/>
        <v/>
      </c>
      <c r="I63" s="3"/>
      <c r="J63" t="s">
        <v>67</v>
      </c>
    </row>
    <row r="64" spans="1:13" x14ac:dyDescent="0.3">
      <c r="A64">
        <v>5579</v>
      </c>
      <c r="B64" t="s">
        <v>73</v>
      </c>
      <c r="C64" t="s">
        <v>66</v>
      </c>
      <c r="D64" s="4">
        <v>45054</v>
      </c>
      <c r="E64" s="3">
        <v>0.74791666666666667</v>
      </c>
      <c r="F64" s="3">
        <f t="shared" si="6"/>
        <v>0.83125000000000004</v>
      </c>
      <c r="H64" s="3" t="str">
        <f t="shared" si="5"/>
        <v/>
      </c>
      <c r="I64" s="3"/>
      <c r="J64" t="s">
        <v>67</v>
      </c>
    </row>
    <row r="65" spans="1:11" x14ac:dyDescent="0.3">
      <c r="A65">
        <v>5579</v>
      </c>
      <c r="B65" t="s">
        <v>73</v>
      </c>
      <c r="C65" t="s">
        <v>3</v>
      </c>
      <c r="D65" s="4">
        <v>45062</v>
      </c>
      <c r="E65" s="3">
        <v>0.56527777777777777</v>
      </c>
      <c r="F65" s="3">
        <f t="shared" si="6"/>
        <v>0.64861111111111114</v>
      </c>
      <c r="H65" s="3" t="str">
        <f t="shared" si="5"/>
        <v/>
      </c>
      <c r="I65" s="3"/>
      <c r="J65" t="s">
        <v>67</v>
      </c>
    </row>
    <row r="66" spans="1:11" x14ac:dyDescent="0.3">
      <c r="A66">
        <v>5579</v>
      </c>
      <c r="B66" t="s">
        <v>73</v>
      </c>
      <c r="C66" t="s">
        <v>7</v>
      </c>
      <c r="D66" s="4">
        <v>45073</v>
      </c>
      <c r="E66" s="3">
        <v>0.3576388888888889</v>
      </c>
      <c r="F66" s="3">
        <f t="shared" si="6"/>
        <v>0.44097222222222221</v>
      </c>
      <c r="H66" s="3" t="str">
        <f t="shared" si="5"/>
        <v/>
      </c>
      <c r="I66" s="3"/>
      <c r="J66" t="s">
        <v>67</v>
      </c>
    </row>
    <row r="67" spans="1:11" x14ac:dyDescent="0.3">
      <c r="A67">
        <v>5579</v>
      </c>
      <c r="B67" t="s">
        <v>73</v>
      </c>
      <c r="C67" t="s">
        <v>5</v>
      </c>
      <c r="D67" s="4">
        <v>45057</v>
      </c>
      <c r="E67" s="3">
        <v>0.47152777777777777</v>
      </c>
      <c r="F67" s="3">
        <f t="shared" si="6"/>
        <v>0.55486111111111114</v>
      </c>
      <c r="H67" s="3" t="str">
        <f t="shared" si="5"/>
        <v/>
      </c>
      <c r="I67" s="3"/>
      <c r="J67" t="s">
        <v>67</v>
      </c>
    </row>
    <row r="68" spans="1:11" x14ac:dyDescent="0.3">
      <c r="A68">
        <v>5579</v>
      </c>
      <c r="B68" t="s">
        <v>73</v>
      </c>
      <c r="C68" t="s">
        <v>66</v>
      </c>
      <c r="D68" s="4">
        <v>45103</v>
      </c>
      <c r="E68" s="3">
        <v>0.56944444444444442</v>
      </c>
      <c r="F68" s="3">
        <f t="shared" si="6"/>
        <v>0.65277777777777779</v>
      </c>
      <c r="H68" s="3" t="str">
        <f t="shared" si="5"/>
        <v/>
      </c>
      <c r="I68" s="3"/>
      <c r="J68" t="s">
        <v>67</v>
      </c>
    </row>
    <row r="69" spans="1:11" x14ac:dyDescent="0.3">
      <c r="A69">
        <v>5579</v>
      </c>
      <c r="B69" t="s">
        <v>73</v>
      </c>
      <c r="C69" t="s">
        <v>7</v>
      </c>
      <c r="D69" s="4">
        <v>45087</v>
      </c>
      <c r="E69" s="3">
        <v>0.36180555555555555</v>
      </c>
      <c r="F69" s="3">
        <f t="shared" si="6"/>
        <v>0.44513888888888886</v>
      </c>
      <c r="G69" s="3">
        <v>0.36527777777777776</v>
      </c>
      <c r="H69" s="3">
        <f t="shared" si="5"/>
        <v>0.44861111111111107</v>
      </c>
      <c r="I69" s="3">
        <f>G69-E69</f>
        <v>3.4722222222222099E-3</v>
      </c>
      <c r="J69" t="s">
        <v>67</v>
      </c>
    </row>
    <row r="70" spans="1:11" x14ac:dyDescent="0.3">
      <c r="A70">
        <v>5579</v>
      </c>
      <c r="B70" t="s">
        <v>73</v>
      </c>
      <c r="C70" t="s">
        <v>4</v>
      </c>
      <c r="D70" s="4">
        <v>45091</v>
      </c>
      <c r="E70" s="3">
        <v>0.22638888888888889</v>
      </c>
      <c r="F70" s="3">
        <f t="shared" si="6"/>
        <v>0.30972222222222223</v>
      </c>
      <c r="H70" s="3" t="str">
        <f t="shared" si="5"/>
        <v/>
      </c>
      <c r="I70" s="3"/>
      <c r="J70" t="s">
        <v>43</v>
      </c>
      <c r="K70" t="s">
        <v>78</v>
      </c>
    </row>
    <row r="71" spans="1:11" x14ac:dyDescent="0.3">
      <c r="A71">
        <v>5579</v>
      </c>
      <c r="B71" t="s">
        <v>73</v>
      </c>
      <c r="C71" t="s">
        <v>7</v>
      </c>
      <c r="D71" s="4">
        <v>45080</v>
      </c>
      <c r="E71" s="3">
        <v>0.1451388888888889</v>
      </c>
      <c r="F71" s="3">
        <f t="shared" si="6"/>
        <v>0.22847222222222224</v>
      </c>
      <c r="G71" s="3">
        <v>0.14861111111111111</v>
      </c>
      <c r="H71" s="3">
        <f t="shared" si="5"/>
        <v>0.23194444444444445</v>
      </c>
      <c r="I71" s="3">
        <f>G71-E71</f>
        <v>3.4722222222222099E-3</v>
      </c>
      <c r="J71" t="s">
        <v>67</v>
      </c>
    </row>
    <row r="72" spans="1:11" x14ac:dyDescent="0.3">
      <c r="A72">
        <v>5579</v>
      </c>
      <c r="B72" t="s">
        <v>73</v>
      </c>
      <c r="C72" t="s">
        <v>5</v>
      </c>
      <c r="D72" s="4">
        <v>45092</v>
      </c>
      <c r="E72" s="3">
        <v>0.62291666666666667</v>
      </c>
      <c r="F72" s="3">
        <f t="shared" si="6"/>
        <v>0.70625000000000004</v>
      </c>
      <c r="G72" s="3">
        <v>0.6333333333333333</v>
      </c>
      <c r="H72" s="3">
        <f t="shared" si="5"/>
        <v>0.71666666666666667</v>
      </c>
      <c r="I72" s="3">
        <f>G72-E72</f>
        <v>1.041666666666663E-2</v>
      </c>
      <c r="J72" t="s">
        <v>67</v>
      </c>
    </row>
    <row r="73" spans="1:11" x14ac:dyDescent="0.3">
      <c r="A73">
        <v>5579</v>
      </c>
      <c r="B73" t="s">
        <v>73</v>
      </c>
      <c r="C73" t="s">
        <v>2</v>
      </c>
      <c r="D73" s="4">
        <v>45096</v>
      </c>
      <c r="E73" s="3">
        <v>0.29652777777777778</v>
      </c>
      <c r="F73" s="3">
        <f t="shared" si="6"/>
        <v>0.37986111111111109</v>
      </c>
      <c r="G73" s="3">
        <v>0.48680555555555555</v>
      </c>
      <c r="H73" s="3">
        <f t="shared" si="5"/>
        <v>0.57013888888888886</v>
      </c>
      <c r="I73" s="3">
        <f>G73-E73</f>
        <v>0.19027777777777777</v>
      </c>
      <c r="J73" t="s">
        <v>67</v>
      </c>
    </row>
    <row r="74" spans="1:11" x14ac:dyDescent="0.3">
      <c r="A74">
        <v>5579</v>
      </c>
      <c r="B74" t="s">
        <v>73</v>
      </c>
      <c r="C74" t="s">
        <v>8</v>
      </c>
      <c r="D74" s="4">
        <v>45095</v>
      </c>
      <c r="E74" s="3">
        <v>0.34375</v>
      </c>
      <c r="F74" s="3">
        <f t="shared" si="6"/>
        <v>0.42708333333333331</v>
      </c>
      <c r="H74" s="3" t="str">
        <f t="shared" si="5"/>
        <v/>
      </c>
      <c r="I74" s="3"/>
      <c r="J74" t="s">
        <v>67</v>
      </c>
    </row>
    <row r="75" spans="1:11" x14ac:dyDescent="0.3">
      <c r="A75">
        <v>5579</v>
      </c>
      <c r="B75" t="s">
        <v>73</v>
      </c>
      <c r="C75" t="s">
        <v>3</v>
      </c>
      <c r="D75" s="4">
        <v>45104</v>
      </c>
      <c r="E75" s="3">
        <v>0.75972222222222219</v>
      </c>
      <c r="F75" s="3">
        <f t="shared" si="6"/>
        <v>0.84305555555555556</v>
      </c>
      <c r="H75" s="3" t="str">
        <f t="shared" si="5"/>
        <v/>
      </c>
      <c r="I75" s="3"/>
      <c r="J75" t="s">
        <v>67</v>
      </c>
    </row>
    <row r="76" spans="1:11" x14ac:dyDescent="0.3">
      <c r="A76">
        <v>5579</v>
      </c>
      <c r="B76" t="s">
        <v>73</v>
      </c>
      <c r="C76" t="s">
        <v>3</v>
      </c>
      <c r="D76" s="4">
        <v>45125</v>
      </c>
      <c r="E76" s="3">
        <v>0.62430555555555556</v>
      </c>
      <c r="F76" s="3">
        <f>IF(E76="","",E76+TIME(2,A705,0))</f>
        <v>0.70763888888888893</v>
      </c>
      <c r="H76" s="3" t="str">
        <f t="shared" ref="H76:H82" si="7">IF(G76="","",G76+TIME(2,0,0))</f>
        <v/>
      </c>
      <c r="I76" s="3"/>
      <c r="J76" t="s">
        <v>67</v>
      </c>
    </row>
    <row r="77" spans="1:11" x14ac:dyDescent="0.3">
      <c r="A77">
        <v>5579</v>
      </c>
      <c r="B77" t="s">
        <v>73</v>
      </c>
      <c r="C77" t="s">
        <v>3</v>
      </c>
      <c r="D77" s="4">
        <v>45118</v>
      </c>
      <c r="E77" s="3">
        <v>0.65069444444444446</v>
      </c>
      <c r="F77" s="3">
        <f>IF(E77="","",E77+TIME(2,A705,0))</f>
        <v>0.73402777777777783</v>
      </c>
      <c r="H77" s="3" t="str">
        <f t="shared" si="7"/>
        <v/>
      </c>
      <c r="I77" s="3"/>
      <c r="J77" t="s">
        <v>67</v>
      </c>
    </row>
    <row r="78" spans="1:11" x14ac:dyDescent="0.3">
      <c r="A78">
        <v>5579</v>
      </c>
      <c r="B78" t="s">
        <v>73</v>
      </c>
      <c r="C78" t="s">
        <v>4</v>
      </c>
      <c r="D78" s="4">
        <v>45119</v>
      </c>
      <c r="E78" s="3">
        <v>0.54374999999999996</v>
      </c>
      <c r="F78" s="3">
        <f>IF(E78="","",E78+TIME(2,A705,0))</f>
        <v>0.62708333333333333</v>
      </c>
      <c r="H78" s="3" t="str">
        <f t="shared" si="7"/>
        <v/>
      </c>
      <c r="I78" s="3"/>
      <c r="J78" t="s">
        <v>43</v>
      </c>
      <c r="K78" t="s">
        <v>49</v>
      </c>
    </row>
    <row r="79" spans="1:11" x14ac:dyDescent="0.3">
      <c r="A79">
        <v>5579</v>
      </c>
      <c r="B79" t="s">
        <v>73</v>
      </c>
      <c r="C79" t="s">
        <v>4</v>
      </c>
      <c r="D79" s="4">
        <v>45126</v>
      </c>
      <c r="E79" s="3">
        <v>0.77013888888888893</v>
      </c>
      <c r="F79" s="3">
        <f>IF(E79="","",E79+TIME(2,A705,0))</f>
        <v>0.8534722222222223</v>
      </c>
      <c r="H79" s="3" t="str">
        <f t="shared" si="7"/>
        <v/>
      </c>
      <c r="I79" s="3"/>
      <c r="J79" t="s">
        <v>43</v>
      </c>
      <c r="K79" t="s">
        <v>44</v>
      </c>
    </row>
    <row r="80" spans="1:11" x14ac:dyDescent="0.3">
      <c r="A80">
        <v>5579</v>
      </c>
      <c r="B80" t="s">
        <v>73</v>
      </c>
      <c r="C80" t="s">
        <v>2</v>
      </c>
      <c r="D80" s="4">
        <v>45131</v>
      </c>
      <c r="E80" s="3">
        <v>0.43333333333333335</v>
      </c>
      <c r="F80" s="3">
        <f>IF(E80="","",E80+TIME(2,A705,0))</f>
        <v>0.51666666666666672</v>
      </c>
      <c r="H80" s="3" t="str">
        <f t="shared" si="7"/>
        <v/>
      </c>
      <c r="I80" s="3"/>
      <c r="J80" t="s">
        <v>67</v>
      </c>
    </row>
    <row r="81" spans="1:12" x14ac:dyDescent="0.3">
      <c r="A81">
        <v>5579</v>
      </c>
      <c r="B81" t="s">
        <v>73</v>
      </c>
      <c r="C81" t="s">
        <v>3</v>
      </c>
      <c r="D81" s="4">
        <v>45132</v>
      </c>
      <c r="E81" s="3">
        <v>0.45416666666666666</v>
      </c>
      <c r="F81" s="3">
        <f>IF(E81="","",E81+TIME(2,A710,0))</f>
        <v>0.53749999999999998</v>
      </c>
      <c r="H81" s="3" t="str">
        <f t="shared" si="7"/>
        <v/>
      </c>
      <c r="I81" s="3"/>
      <c r="J81" t="s">
        <v>67</v>
      </c>
    </row>
    <row r="82" spans="1:12" x14ac:dyDescent="0.3">
      <c r="A82">
        <v>5579</v>
      </c>
      <c r="B82" t="s">
        <v>73</v>
      </c>
      <c r="C82" t="s">
        <v>2</v>
      </c>
      <c r="D82" s="4">
        <v>45124</v>
      </c>
      <c r="E82" s="3">
        <v>0.60416666666666663</v>
      </c>
      <c r="F82" s="3">
        <f>IF(E82="","",E82+TIME(2,A711,0))</f>
        <v>0.6875</v>
      </c>
      <c r="H82" s="3" t="str">
        <f t="shared" si="7"/>
        <v/>
      </c>
      <c r="I82" s="3"/>
      <c r="J82" t="s">
        <v>67</v>
      </c>
    </row>
    <row r="83" spans="1:12" x14ac:dyDescent="0.3">
      <c r="A83">
        <v>5654</v>
      </c>
      <c r="B83" t="s">
        <v>42</v>
      </c>
      <c r="C83" t="s">
        <v>7</v>
      </c>
      <c r="D83" s="4">
        <v>45080</v>
      </c>
      <c r="E83" s="3">
        <v>0.75277777777777777</v>
      </c>
      <c r="F83" s="3">
        <f t="shared" ref="F83:F94" si="8">IF(E83="","",E83+TIME(2,A684,0))</f>
        <v>0.83611111111111114</v>
      </c>
      <c r="G83" s="3">
        <v>0.77638888888888891</v>
      </c>
      <c r="H83" s="3">
        <f t="shared" si="5"/>
        <v>0.85972222222222228</v>
      </c>
      <c r="I83" s="3">
        <f>G83-E83</f>
        <v>2.3611111111111138E-2</v>
      </c>
      <c r="J83" t="s">
        <v>43</v>
      </c>
      <c r="K83" t="s">
        <v>44</v>
      </c>
      <c r="L83" t="s">
        <v>79</v>
      </c>
    </row>
    <row r="84" spans="1:12" x14ac:dyDescent="0.3">
      <c r="A84">
        <v>5654</v>
      </c>
      <c r="B84" t="s">
        <v>42</v>
      </c>
      <c r="C84" t="s">
        <v>2</v>
      </c>
      <c r="D84" s="4">
        <v>45103</v>
      </c>
      <c r="E84" s="3">
        <v>0.13263888888888889</v>
      </c>
      <c r="F84" s="3">
        <f t="shared" si="8"/>
        <v>0.21597222222222223</v>
      </c>
      <c r="H84" s="3" t="str">
        <f t="shared" si="5"/>
        <v/>
      </c>
      <c r="I84" s="3"/>
      <c r="J84" t="s">
        <v>67</v>
      </c>
    </row>
    <row r="85" spans="1:12" x14ac:dyDescent="0.3">
      <c r="A85">
        <v>5654</v>
      </c>
      <c r="B85" t="s">
        <v>42</v>
      </c>
      <c r="C85" t="s">
        <v>4</v>
      </c>
      <c r="D85" s="4">
        <v>45098</v>
      </c>
      <c r="E85" s="3">
        <v>0.4909722222222222</v>
      </c>
      <c r="F85" s="3">
        <f t="shared" si="8"/>
        <v>0.57430555555555551</v>
      </c>
      <c r="H85" s="3" t="str">
        <f t="shared" si="5"/>
        <v/>
      </c>
      <c r="I85" s="3"/>
      <c r="J85" t="s">
        <v>43</v>
      </c>
      <c r="K85" t="s">
        <v>45</v>
      </c>
    </row>
    <row r="86" spans="1:12" x14ac:dyDescent="0.3">
      <c r="A86">
        <v>5654</v>
      </c>
      <c r="B86" t="s">
        <v>42</v>
      </c>
      <c r="C86" t="s">
        <v>7</v>
      </c>
      <c r="D86" s="4">
        <v>45087</v>
      </c>
      <c r="E86" s="3">
        <v>0.37361111111111112</v>
      </c>
      <c r="F86" s="3">
        <f t="shared" si="8"/>
        <v>0.45694444444444443</v>
      </c>
      <c r="H86" s="3" t="str">
        <f t="shared" si="5"/>
        <v/>
      </c>
      <c r="I86" s="3"/>
      <c r="J86" t="s">
        <v>43</v>
      </c>
      <c r="K86" t="s">
        <v>45</v>
      </c>
    </row>
    <row r="87" spans="1:12" x14ac:dyDescent="0.3">
      <c r="A87">
        <v>5654</v>
      </c>
      <c r="B87" t="s">
        <v>42</v>
      </c>
      <c r="C87" t="s">
        <v>7</v>
      </c>
      <c r="D87" s="4">
        <v>45094</v>
      </c>
      <c r="E87" s="3">
        <v>0.18333333333333332</v>
      </c>
      <c r="F87" s="3">
        <f t="shared" si="8"/>
        <v>0.26666666666666666</v>
      </c>
      <c r="H87" s="3" t="str">
        <f t="shared" si="5"/>
        <v/>
      </c>
      <c r="I87" s="3"/>
      <c r="J87" t="s">
        <v>43</v>
      </c>
      <c r="K87" t="s">
        <v>45</v>
      </c>
    </row>
    <row r="88" spans="1:12" x14ac:dyDescent="0.3">
      <c r="A88">
        <v>5654</v>
      </c>
      <c r="B88" t="s">
        <v>42</v>
      </c>
      <c r="C88" t="s">
        <v>3</v>
      </c>
      <c r="D88" s="4">
        <v>45090</v>
      </c>
      <c r="E88" s="3">
        <v>0.14791666666666667</v>
      </c>
      <c r="F88" s="3">
        <f t="shared" si="8"/>
        <v>0.23125000000000001</v>
      </c>
      <c r="G88" s="3">
        <v>0.15138888888888888</v>
      </c>
      <c r="H88" s="3">
        <f t="shared" si="5"/>
        <v>0.23472222222222222</v>
      </c>
      <c r="I88" s="3">
        <f>G88-E88</f>
        <v>3.4722222222222099E-3</v>
      </c>
      <c r="J88" t="s">
        <v>43</v>
      </c>
      <c r="K88" t="s">
        <v>70</v>
      </c>
    </row>
    <row r="89" spans="1:12" x14ac:dyDescent="0.3">
      <c r="A89">
        <v>5654</v>
      </c>
      <c r="B89" t="s">
        <v>80</v>
      </c>
      <c r="C89" t="s">
        <v>6</v>
      </c>
      <c r="D89" s="4">
        <v>45065</v>
      </c>
      <c r="E89" s="3">
        <v>0.14027777777777778</v>
      </c>
      <c r="F89" s="3">
        <f t="shared" si="8"/>
        <v>0.22361111111111109</v>
      </c>
      <c r="H89" s="3" t="str">
        <f t="shared" si="5"/>
        <v/>
      </c>
      <c r="I89" s="3"/>
      <c r="J89" t="s">
        <v>43</v>
      </c>
      <c r="K89" t="s">
        <v>70</v>
      </c>
    </row>
    <row r="90" spans="1:12" x14ac:dyDescent="0.3">
      <c r="A90">
        <v>5654</v>
      </c>
      <c r="B90" t="s">
        <v>42</v>
      </c>
      <c r="C90" t="s">
        <v>4</v>
      </c>
      <c r="D90" s="4">
        <v>45070</v>
      </c>
      <c r="E90" s="3">
        <v>0.15763888888888888</v>
      </c>
      <c r="F90" s="3">
        <f t="shared" si="8"/>
        <v>0.2409722222222222</v>
      </c>
      <c r="H90" s="3" t="str">
        <f t="shared" si="5"/>
        <v/>
      </c>
      <c r="I90" s="3"/>
      <c r="J90" t="s">
        <v>43</v>
      </c>
      <c r="K90" t="s">
        <v>70</v>
      </c>
    </row>
    <row r="91" spans="1:12" x14ac:dyDescent="0.3">
      <c r="A91">
        <v>5654</v>
      </c>
      <c r="B91" t="s">
        <v>42</v>
      </c>
      <c r="C91" t="s">
        <v>8</v>
      </c>
      <c r="D91" s="4">
        <v>45053</v>
      </c>
      <c r="E91" s="3">
        <v>0.41111111111111109</v>
      </c>
      <c r="F91" s="3">
        <f t="shared" si="8"/>
        <v>0.49444444444444441</v>
      </c>
      <c r="H91" s="3" t="str">
        <f t="shared" si="5"/>
        <v/>
      </c>
      <c r="I91" s="3"/>
      <c r="J91" t="s">
        <v>67</v>
      </c>
    </row>
    <row r="92" spans="1:12" x14ac:dyDescent="0.3">
      <c r="A92">
        <v>5654</v>
      </c>
      <c r="B92" t="s">
        <v>42</v>
      </c>
      <c r="C92" t="s">
        <v>4</v>
      </c>
      <c r="D92" s="4">
        <v>45056</v>
      </c>
      <c r="E92" s="3">
        <v>0.33750000000000002</v>
      </c>
      <c r="F92" s="3">
        <f t="shared" si="8"/>
        <v>0.42083333333333334</v>
      </c>
      <c r="H92" s="3" t="str">
        <f t="shared" si="5"/>
        <v/>
      </c>
      <c r="I92" s="3"/>
      <c r="J92" t="s">
        <v>43</v>
      </c>
      <c r="K92" t="s">
        <v>45</v>
      </c>
    </row>
    <row r="93" spans="1:12" x14ac:dyDescent="0.3">
      <c r="A93">
        <v>5654</v>
      </c>
      <c r="B93" t="s">
        <v>42</v>
      </c>
      <c r="C93" t="s">
        <v>2</v>
      </c>
      <c r="D93" s="4">
        <v>45068</v>
      </c>
      <c r="E93" s="3">
        <v>0.6069444444444444</v>
      </c>
      <c r="F93" s="3">
        <f t="shared" si="8"/>
        <v>0.69027777777777777</v>
      </c>
      <c r="H93" s="3" t="str">
        <f t="shared" si="5"/>
        <v/>
      </c>
      <c r="I93" s="3"/>
      <c r="J93" t="s">
        <v>67</v>
      </c>
      <c r="K93" t="s">
        <v>45</v>
      </c>
    </row>
    <row r="94" spans="1:12" x14ac:dyDescent="0.3">
      <c r="A94">
        <v>5654</v>
      </c>
      <c r="B94" t="s">
        <v>42</v>
      </c>
      <c r="C94" t="s">
        <v>6</v>
      </c>
      <c r="D94" s="4">
        <v>45072</v>
      </c>
      <c r="E94" s="3">
        <v>0.13541666666666666</v>
      </c>
      <c r="F94" s="3">
        <f t="shared" si="8"/>
        <v>0.21875</v>
      </c>
      <c r="H94" s="3" t="str">
        <f t="shared" ref="H94:H151" si="9">IF(G94="","",G94+TIME(2,0,0))</f>
        <v/>
      </c>
      <c r="I94" s="3"/>
      <c r="J94" t="s">
        <v>43</v>
      </c>
      <c r="K94" t="s">
        <v>78</v>
      </c>
    </row>
    <row r="95" spans="1:12" x14ac:dyDescent="0.3">
      <c r="A95">
        <v>5654</v>
      </c>
      <c r="B95" t="s">
        <v>42</v>
      </c>
      <c r="C95" t="s">
        <v>5</v>
      </c>
      <c r="D95" s="4">
        <v>45134</v>
      </c>
      <c r="E95" s="3">
        <v>0.22152777777777777</v>
      </c>
      <c r="F95" s="3">
        <f>IF(E95="","",E95+TIME(2,A724,0))</f>
        <v>0.30486111111111108</v>
      </c>
      <c r="H95" s="3" t="str">
        <f t="shared" ref="H95:H100" si="10">IF(G95="","",G95+TIME(2,0,0))</f>
        <v/>
      </c>
      <c r="I95" s="3"/>
      <c r="J95" t="s">
        <v>43</v>
      </c>
      <c r="K95" t="s">
        <v>70</v>
      </c>
    </row>
    <row r="96" spans="1:12" x14ac:dyDescent="0.3">
      <c r="A96">
        <v>5654</v>
      </c>
      <c r="B96" t="s">
        <v>42</v>
      </c>
      <c r="C96" t="s">
        <v>4</v>
      </c>
      <c r="D96" s="4">
        <v>45112</v>
      </c>
      <c r="E96" s="3">
        <v>0.49861111111111112</v>
      </c>
      <c r="F96" s="3">
        <f>IF(E96="","",E96+TIME(2,A724,0))</f>
        <v>0.58194444444444449</v>
      </c>
      <c r="H96" s="3" t="str">
        <f t="shared" si="10"/>
        <v/>
      </c>
      <c r="I96" s="3"/>
      <c r="J96" t="s">
        <v>43</v>
      </c>
      <c r="K96" t="s">
        <v>45</v>
      </c>
    </row>
    <row r="97" spans="1:13" x14ac:dyDescent="0.3">
      <c r="A97">
        <v>5654</v>
      </c>
      <c r="B97" t="s">
        <v>42</v>
      </c>
      <c r="C97" t="s">
        <v>7</v>
      </c>
      <c r="D97" s="4">
        <v>45115</v>
      </c>
      <c r="E97" s="3">
        <v>0.17083333333333334</v>
      </c>
      <c r="F97" s="3">
        <f>IF(E97="","",E97+TIME(2,A724,0))</f>
        <v>0.25416666666666665</v>
      </c>
      <c r="H97" s="3" t="str">
        <f t="shared" si="10"/>
        <v/>
      </c>
      <c r="I97" s="3"/>
      <c r="J97" t="s">
        <v>43</v>
      </c>
      <c r="K97" t="s">
        <v>70</v>
      </c>
    </row>
    <row r="98" spans="1:13" x14ac:dyDescent="0.3">
      <c r="A98">
        <v>5654</v>
      </c>
      <c r="B98" t="s">
        <v>42</v>
      </c>
      <c r="C98" t="s">
        <v>2</v>
      </c>
      <c r="D98" s="4">
        <v>45131</v>
      </c>
      <c r="E98" s="3">
        <v>0.52430555555555558</v>
      </c>
      <c r="F98" s="3">
        <f>IF(E98="","",E98+TIME(2,A724,0))</f>
        <v>0.60763888888888895</v>
      </c>
      <c r="H98" s="3" t="str">
        <f t="shared" si="10"/>
        <v/>
      </c>
      <c r="I98" s="3"/>
      <c r="J98" t="s">
        <v>43</v>
      </c>
      <c r="K98" t="s">
        <v>45</v>
      </c>
    </row>
    <row r="99" spans="1:13" x14ac:dyDescent="0.3">
      <c r="A99">
        <v>5998</v>
      </c>
      <c r="B99" t="s">
        <v>33</v>
      </c>
      <c r="C99" t="s">
        <v>74</v>
      </c>
      <c r="D99" s="4">
        <v>44755</v>
      </c>
      <c r="E99" s="3">
        <v>0.32430555555555557</v>
      </c>
      <c r="F99" s="3">
        <f>IF(E99="","",E99+TIME(2,A728,0))</f>
        <v>0.40763888888888888</v>
      </c>
      <c r="H99" s="3" t="str">
        <f t="shared" si="10"/>
        <v/>
      </c>
      <c r="I99" s="3"/>
      <c r="J99" t="s">
        <v>43</v>
      </c>
      <c r="K99" t="s">
        <v>49</v>
      </c>
    </row>
    <row r="100" spans="1:13" x14ac:dyDescent="0.3">
      <c r="A100">
        <v>5998</v>
      </c>
      <c r="B100" t="s">
        <v>33</v>
      </c>
      <c r="C100" t="s">
        <v>6</v>
      </c>
      <c r="D100" s="4">
        <v>44788</v>
      </c>
      <c r="E100" s="3">
        <v>0.34513888888888888</v>
      </c>
      <c r="F100" s="3">
        <f>IF(E100="","",E100+TIME(2,A728,0))</f>
        <v>0.4284722222222222</v>
      </c>
      <c r="H100" s="3" t="str">
        <f t="shared" si="10"/>
        <v/>
      </c>
      <c r="I100" s="3"/>
      <c r="J100" t="s">
        <v>43</v>
      </c>
      <c r="K100" t="s">
        <v>78</v>
      </c>
    </row>
    <row r="101" spans="1:13" x14ac:dyDescent="0.3">
      <c r="A101">
        <v>5998</v>
      </c>
      <c r="B101" t="s">
        <v>33</v>
      </c>
      <c r="C101" t="s">
        <v>5</v>
      </c>
      <c r="D101" s="4">
        <v>44707</v>
      </c>
      <c r="E101" s="3">
        <v>0.62291666666666667</v>
      </c>
      <c r="F101" s="3">
        <f t="shared" ref="F101:F113" si="11">IF(E101="","",E101+TIME(2,A696,0))</f>
        <v>0.70625000000000004</v>
      </c>
      <c r="H101" s="3" t="str">
        <f t="shared" si="9"/>
        <v/>
      </c>
      <c r="I101" s="3"/>
      <c r="J101" t="s">
        <v>43</v>
      </c>
      <c r="K101" t="s">
        <v>45</v>
      </c>
    </row>
    <row r="102" spans="1:13" x14ac:dyDescent="0.3">
      <c r="A102">
        <v>5998</v>
      </c>
      <c r="B102" t="s">
        <v>33</v>
      </c>
      <c r="C102" t="s">
        <v>5</v>
      </c>
      <c r="D102" s="4">
        <v>44735</v>
      </c>
      <c r="E102" s="3">
        <v>0.60416666666666663</v>
      </c>
      <c r="F102" s="3">
        <f t="shared" si="11"/>
        <v>0.6875</v>
      </c>
      <c r="H102" s="3" t="str">
        <f t="shared" si="9"/>
        <v/>
      </c>
      <c r="I102" s="3"/>
      <c r="J102" t="s">
        <v>43</v>
      </c>
      <c r="K102" t="s">
        <v>45</v>
      </c>
    </row>
    <row r="103" spans="1:13" x14ac:dyDescent="0.3">
      <c r="A103">
        <v>5998</v>
      </c>
      <c r="B103" t="s">
        <v>33</v>
      </c>
      <c r="C103" t="s">
        <v>4</v>
      </c>
      <c r="D103" s="4">
        <v>44734</v>
      </c>
      <c r="E103" s="3">
        <v>0.63541666666666663</v>
      </c>
      <c r="F103" s="3">
        <f t="shared" si="11"/>
        <v>0.71875</v>
      </c>
      <c r="H103" s="3" t="str">
        <f t="shared" si="9"/>
        <v/>
      </c>
      <c r="I103" s="3"/>
      <c r="J103" t="s">
        <v>43</v>
      </c>
      <c r="K103" t="s">
        <v>45</v>
      </c>
    </row>
    <row r="104" spans="1:13" x14ac:dyDescent="0.3">
      <c r="A104">
        <v>5998</v>
      </c>
      <c r="B104" t="s">
        <v>33</v>
      </c>
      <c r="C104" t="s">
        <v>5</v>
      </c>
      <c r="D104" s="4">
        <v>44714</v>
      </c>
      <c r="E104" s="3">
        <v>0.60416666666666663</v>
      </c>
      <c r="F104" s="3">
        <f t="shared" si="11"/>
        <v>0.6875</v>
      </c>
      <c r="H104" s="3" t="str">
        <f t="shared" si="9"/>
        <v/>
      </c>
      <c r="I104" s="3"/>
      <c r="J104" t="s">
        <v>43</v>
      </c>
      <c r="K104" t="s">
        <v>45</v>
      </c>
    </row>
    <row r="105" spans="1:13" x14ac:dyDescent="0.3">
      <c r="A105">
        <v>5998</v>
      </c>
      <c r="B105" t="s">
        <v>33</v>
      </c>
      <c r="C105" t="s">
        <v>7</v>
      </c>
      <c r="D105" s="4">
        <v>44709</v>
      </c>
      <c r="E105" s="3">
        <v>0.48125000000000001</v>
      </c>
      <c r="F105" s="3">
        <f t="shared" si="11"/>
        <v>0.56458333333333333</v>
      </c>
      <c r="H105" s="3" t="str">
        <f t="shared" si="9"/>
        <v/>
      </c>
      <c r="I105" s="3"/>
      <c r="J105" t="s">
        <v>43</v>
      </c>
      <c r="K105" t="s">
        <v>45</v>
      </c>
    </row>
    <row r="106" spans="1:13" x14ac:dyDescent="0.3">
      <c r="A106">
        <v>5491</v>
      </c>
      <c r="B106" t="s">
        <v>42</v>
      </c>
      <c r="C106" t="s">
        <v>4</v>
      </c>
      <c r="D106" s="4">
        <v>43621</v>
      </c>
      <c r="E106" s="3">
        <v>0.54791666666666672</v>
      </c>
      <c r="F106" s="3">
        <f t="shared" si="11"/>
        <v>0.63125000000000009</v>
      </c>
      <c r="G106" s="3">
        <v>0.57222222222222219</v>
      </c>
      <c r="H106" s="3">
        <f t="shared" si="9"/>
        <v>0.65555555555555556</v>
      </c>
      <c r="I106" s="3">
        <f>G106-E106</f>
        <v>2.4305555555555469E-2</v>
      </c>
      <c r="J106" t="s">
        <v>43</v>
      </c>
      <c r="K106" t="s">
        <v>45</v>
      </c>
      <c r="L106" t="s">
        <v>84</v>
      </c>
    </row>
    <row r="107" spans="1:13" x14ac:dyDescent="0.3">
      <c r="A107">
        <v>5491</v>
      </c>
      <c r="B107" t="s">
        <v>42</v>
      </c>
      <c r="C107" t="s">
        <v>8</v>
      </c>
      <c r="D107" s="4">
        <v>43625</v>
      </c>
      <c r="E107" s="3">
        <v>0.26180555555555557</v>
      </c>
      <c r="F107" s="3">
        <f t="shared" si="11"/>
        <v>0.34513888888888888</v>
      </c>
      <c r="G107" s="3">
        <v>0.29652777777777778</v>
      </c>
      <c r="H107" s="3">
        <f t="shared" si="9"/>
        <v>0.37986111111111109</v>
      </c>
      <c r="I107" s="3">
        <f>G107-E107</f>
        <v>3.472222222222221E-2</v>
      </c>
      <c r="J107" t="s">
        <v>67</v>
      </c>
      <c r="M107" t="s">
        <v>82</v>
      </c>
    </row>
    <row r="108" spans="1:13" x14ac:dyDescent="0.3">
      <c r="A108">
        <v>5491</v>
      </c>
      <c r="B108" t="s">
        <v>42</v>
      </c>
      <c r="C108" t="s">
        <v>2</v>
      </c>
      <c r="D108" s="4">
        <v>43626</v>
      </c>
      <c r="E108" s="3">
        <v>0.30138888888888887</v>
      </c>
      <c r="F108" s="3">
        <f t="shared" si="11"/>
        <v>0.38472222222222219</v>
      </c>
      <c r="H108" s="3" t="str">
        <f t="shared" si="9"/>
        <v/>
      </c>
      <c r="I108" s="3"/>
      <c r="J108" t="s">
        <v>67</v>
      </c>
    </row>
    <row r="109" spans="1:13" x14ac:dyDescent="0.3">
      <c r="A109">
        <v>5491</v>
      </c>
      <c r="B109" t="s">
        <v>42</v>
      </c>
      <c r="C109" t="s">
        <v>3</v>
      </c>
      <c r="D109" s="4">
        <v>43627</v>
      </c>
      <c r="E109" s="3">
        <v>0.21875</v>
      </c>
      <c r="F109" s="3">
        <f t="shared" si="11"/>
        <v>0.30208333333333331</v>
      </c>
      <c r="G109" s="3">
        <v>0.22569444444444445</v>
      </c>
      <c r="H109" s="3">
        <f t="shared" si="9"/>
        <v>0.30902777777777779</v>
      </c>
      <c r="I109" s="3">
        <f>G109-E109</f>
        <v>6.9444444444444475E-3</v>
      </c>
      <c r="J109" t="s">
        <v>43</v>
      </c>
      <c r="K109" t="s">
        <v>70</v>
      </c>
    </row>
    <row r="110" spans="1:13" x14ac:dyDescent="0.3">
      <c r="A110">
        <v>5491</v>
      </c>
      <c r="B110" t="s">
        <v>42</v>
      </c>
      <c r="C110" t="s">
        <v>5</v>
      </c>
      <c r="D110" s="4">
        <v>43643</v>
      </c>
      <c r="E110" s="3">
        <v>0.34305555555555556</v>
      </c>
      <c r="F110" s="3">
        <f t="shared" si="11"/>
        <v>0.42638888888888887</v>
      </c>
      <c r="H110" s="3" t="str">
        <f t="shared" si="9"/>
        <v/>
      </c>
      <c r="I110" s="3"/>
      <c r="J110" t="s">
        <v>43</v>
      </c>
      <c r="K110" t="s">
        <v>45</v>
      </c>
    </row>
    <row r="111" spans="1:13" x14ac:dyDescent="0.3">
      <c r="A111">
        <v>5491</v>
      </c>
      <c r="B111" t="s">
        <v>42</v>
      </c>
      <c r="C111" t="s">
        <v>7</v>
      </c>
      <c r="D111" s="4">
        <v>43645</v>
      </c>
      <c r="E111" s="3">
        <v>0.11388888888888889</v>
      </c>
      <c r="F111" s="3">
        <f t="shared" si="11"/>
        <v>0.19722222222222222</v>
      </c>
      <c r="H111" s="3" t="str">
        <f t="shared" si="9"/>
        <v/>
      </c>
      <c r="I111" s="3"/>
      <c r="J111" t="s">
        <v>43</v>
      </c>
      <c r="K111" t="s">
        <v>70</v>
      </c>
    </row>
    <row r="112" spans="1:13" x14ac:dyDescent="0.3">
      <c r="A112">
        <v>5491</v>
      </c>
      <c r="B112" t="s">
        <v>42</v>
      </c>
      <c r="C112" t="s">
        <v>3</v>
      </c>
      <c r="D112" s="4">
        <v>43618</v>
      </c>
      <c r="E112" s="3">
        <v>0.24236111111111111</v>
      </c>
      <c r="F112" s="3">
        <f t="shared" si="11"/>
        <v>0.32569444444444445</v>
      </c>
      <c r="H112" s="3" t="str">
        <f t="shared" si="9"/>
        <v/>
      </c>
      <c r="I112" s="3"/>
      <c r="J112" t="s">
        <v>43</v>
      </c>
      <c r="K112" t="s">
        <v>70</v>
      </c>
    </row>
    <row r="113" spans="1:12" x14ac:dyDescent="0.3">
      <c r="A113">
        <v>5491</v>
      </c>
      <c r="B113" t="s">
        <v>42</v>
      </c>
      <c r="C113" t="s">
        <v>69</v>
      </c>
      <c r="D113" s="4">
        <v>43634</v>
      </c>
      <c r="E113" s="3">
        <v>0.15902777777777777</v>
      </c>
      <c r="F113" s="3">
        <f t="shared" si="11"/>
        <v>0.24236111111111108</v>
      </c>
      <c r="H113" s="3" t="str">
        <f t="shared" si="9"/>
        <v/>
      </c>
      <c r="I113" s="3"/>
      <c r="J113" t="s">
        <v>83</v>
      </c>
      <c r="K113" t="s">
        <v>70</v>
      </c>
    </row>
    <row r="114" spans="1:12" x14ac:dyDescent="0.3">
      <c r="A114">
        <v>5491</v>
      </c>
      <c r="B114" t="s">
        <v>42</v>
      </c>
      <c r="C114" t="s">
        <v>5</v>
      </c>
      <c r="D114" s="4">
        <v>43650</v>
      </c>
      <c r="E114" s="3">
        <v>0.11944444444444445</v>
      </c>
      <c r="F114" s="3">
        <f>IF(E114="","",E114+TIME(2,A741,0))</f>
        <v>0.20277777777777778</v>
      </c>
      <c r="H114" s="3" t="str">
        <f t="shared" ref="H114:H119" si="12">IF(G114="","",G114+TIME(2,0,0))</f>
        <v/>
      </c>
      <c r="I114" s="3"/>
      <c r="J114" t="s">
        <v>43</v>
      </c>
      <c r="K114" t="s">
        <v>70</v>
      </c>
    </row>
    <row r="115" spans="1:12" x14ac:dyDescent="0.3">
      <c r="A115">
        <v>5491</v>
      </c>
      <c r="B115" t="s">
        <v>42</v>
      </c>
      <c r="C115" t="s">
        <v>3</v>
      </c>
      <c r="D115" s="4">
        <v>43669</v>
      </c>
      <c r="E115" s="3">
        <v>0.3263888888888889</v>
      </c>
      <c r="F115" s="3">
        <f>IF(E115="","",E115+TIME(2,A741,0))</f>
        <v>0.40972222222222221</v>
      </c>
      <c r="H115" s="3" t="str">
        <f t="shared" si="12"/>
        <v/>
      </c>
      <c r="I115" s="3"/>
      <c r="J115" t="s">
        <v>43</v>
      </c>
      <c r="K115" t="s">
        <v>49</v>
      </c>
    </row>
    <row r="116" spans="1:12" x14ac:dyDescent="0.3">
      <c r="A116">
        <v>5491</v>
      </c>
      <c r="B116" t="s">
        <v>42</v>
      </c>
      <c r="C116" t="s">
        <v>4</v>
      </c>
      <c r="D116" s="4">
        <v>43649</v>
      </c>
      <c r="E116" s="3">
        <v>0.47638888888888886</v>
      </c>
      <c r="F116" s="3">
        <f>IF(E116="","",E116+TIME(2,A741,0))</f>
        <v>0.55972222222222223</v>
      </c>
      <c r="H116" s="3" t="str">
        <f t="shared" si="12"/>
        <v/>
      </c>
      <c r="I116" s="3"/>
      <c r="J116" t="s">
        <v>43</v>
      </c>
      <c r="K116" t="s">
        <v>45</v>
      </c>
    </row>
    <row r="117" spans="1:12" x14ac:dyDescent="0.3">
      <c r="A117">
        <v>5491</v>
      </c>
      <c r="B117" t="s">
        <v>42</v>
      </c>
      <c r="C117" t="s">
        <v>4</v>
      </c>
      <c r="D117" s="4">
        <v>43670</v>
      </c>
      <c r="E117" s="3">
        <v>0.29791666666666666</v>
      </c>
      <c r="F117" s="3">
        <f>IF(E117="","",E117+TIME(2,A741,0))</f>
        <v>0.38124999999999998</v>
      </c>
      <c r="H117" s="3" t="str">
        <f t="shared" si="12"/>
        <v/>
      </c>
      <c r="I117" s="3"/>
      <c r="J117" t="s">
        <v>43</v>
      </c>
      <c r="K117" t="s">
        <v>49</v>
      </c>
    </row>
    <row r="118" spans="1:12" x14ac:dyDescent="0.3">
      <c r="A118">
        <v>5491</v>
      </c>
      <c r="B118" t="s">
        <v>42</v>
      </c>
      <c r="C118" t="s">
        <v>2</v>
      </c>
      <c r="D118" s="4">
        <v>43675</v>
      </c>
      <c r="E118" s="3">
        <v>0.24930555555555556</v>
      </c>
      <c r="F118" s="3">
        <f>IF(E118="","",E118+TIME(2,A741,0))</f>
        <v>0.33263888888888887</v>
      </c>
      <c r="H118" s="3" t="str">
        <f t="shared" si="12"/>
        <v/>
      </c>
      <c r="I118" s="3"/>
      <c r="J118" t="s">
        <v>67</v>
      </c>
    </row>
    <row r="119" spans="1:12" x14ac:dyDescent="0.3">
      <c r="A119">
        <v>5491</v>
      </c>
      <c r="B119" t="s">
        <v>42</v>
      </c>
      <c r="C119" t="s">
        <v>6</v>
      </c>
      <c r="D119" s="4">
        <v>43651</v>
      </c>
      <c r="E119" s="3">
        <v>0.71250000000000002</v>
      </c>
      <c r="F119" s="3">
        <f>IF(E119="","",E119+TIME(2,A746,0))</f>
        <v>0.79583333333333339</v>
      </c>
      <c r="H119" s="3" t="str">
        <f t="shared" si="12"/>
        <v/>
      </c>
      <c r="I119" s="3"/>
      <c r="J119" t="s">
        <v>43</v>
      </c>
      <c r="K119" t="s">
        <v>46</v>
      </c>
    </row>
    <row r="120" spans="1:12" x14ac:dyDescent="0.3">
      <c r="A120">
        <v>5491</v>
      </c>
      <c r="B120" t="s">
        <v>34</v>
      </c>
      <c r="C120" t="s">
        <v>2</v>
      </c>
      <c r="D120" s="4">
        <v>43626</v>
      </c>
      <c r="E120" s="3">
        <v>0.30972222222222223</v>
      </c>
      <c r="F120" s="3">
        <f t="shared" ref="F120:F128" si="13">IF(E120="","",E120+TIME(2,A709,0))</f>
        <v>0.39305555555555555</v>
      </c>
      <c r="G120" s="3">
        <v>0.35625000000000001</v>
      </c>
      <c r="H120" s="3">
        <f t="shared" si="9"/>
        <v>0.43958333333333333</v>
      </c>
      <c r="I120" s="3">
        <f>G120-E120</f>
        <v>4.6527777777777779E-2</v>
      </c>
      <c r="J120" t="s">
        <v>67</v>
      </c>
    </row>
    <row r="121" spans="1:12" x14ac:dyDescent="0.3">
      <c r="A121">
        <v>5491</v>
      </c>
      <c r="B121" t="s">
        <v>34</v>
      </c>
      <c r="C121" t="s">
        <v>3</v>
      </c>
      <c r="D121" s="4">
        <v>43620</v>
      </c>
      <c r="E121" s="3">
        <v>0.35416666666666669</v>
      </c>
      <c r="F121" s="3">
        <f t="shared" si="13"/>
        <v>0.4375</v>
      </c>
      <c r="H121" s="3" t="str">
        <f t="shared" si="9"/>
        <v/>
      </c>
      <c r="I121" s="3"/>
      <c r="J121" t="s">
        <v>43</v>
      </c>
      <c r="K121" t="s">
        <v>45</v>
      </c>
    </row>
    <row r="122" spans="1:12" x14ac:dyDescent="0.3">
      <c r="A122">
        <v>5491</v>
      </c>
      <c r="B122" t="s">
        <v>34</v>
      </c>
      <c r="C122" t="s">
        <v>5</v>
      </c>
      <c r="D122" s="4">
        <v>43622</v>
      </c>
      <c r="E122" s="3">
        <v>0.34375</v>
      </c>
      <c r="F122" s="3">
        <f t="shared" si="13"/>
        <v>0.42708333333333331</v>
      </c>
      <c r="G122" s="3">
        <v>0.34444444444444444</v>
      </c>
      <c r="H122" s="3">
        <f t="shared" si="9"/>
        <v>0.42777777777777776</v>
      </c>
      <c r="I122" s="3">
        <f>G122-E122</f>
        <v>6.9444444444444198E-4</v>
      </c>
      <c r="J122" t="s">
        <v>67</v>
      </c>
    </row>
    <row r="123" spans="1:12" x14ac:dyDescent="0.3">
      <c r="A123">
        <v>5491</v>
      </c>
      <c r="B123" t="s">
        <v>34</v>
      </c>
      <c r="C123" t="s">
        <v>5</v>
      </c>
      <c r="D123" s="4">
        <v>43636</v>
      </c>
      <c r="E123" s="3">
        <v>0.29305555555555557</v>
      </c>
      <c r="F123" s="3">
        <f t="shared" si="13"/>
        <v>0.37638888888888888</v>
      </c>
      <c r="H123" s="3" t="str">
        <f t="shared" si="9"/>
        <v/>
      </c>
      <c r="I123" s="3"/>
      <c r="J123" t="s">
        <v>67</v>
      </c>
    </row>
    <row r="124" spans="1:12" x14ac:dyDescent="0.3">
      <c r="A124">
        <v>5433</v>
      </c>
      <c r="B124" t="s">
        <v>42</v>
      </c>
      <c r="C124" t="s">
        <v>7</v>
      </c>
      <c r="D124" s="4">
        <v>43624</v>
      </c>
      <c r="E124" s="3">
        <v>0.29097222222222224</v>
      </c>
      <c r="F124" s="3">
        <f t="shared" si="13"/>
        <v>0.37430555555555556</v>
      </c>
      <c r="G124" s="3">
        <v>0.34097222222222223</v>
      </c>
      <c r="H124" s="3">
        <f t="shared" si="9"/>
        <v>0.42430555555555555</v>
      </c>
      <c r="I124" s="3">
        <f>G124-E124</f>
        <v>4.9999999999999989E-2</v>
      </c>
      <c r="J124" t="s">
        <v>43</v>
      </c>
      <c r="K124" t="s">
        <v>45</v>
      </c>
      <c r="L124" t="s">
        <v>84</v>
      </c>
    </row>
    <row r="125" spans="1:12" x14ac:dyDescent="0.3">
      <c r="A125">
        <v>5433</v>
      </c>
      <c r="B125" t="s">
        <v>42</v>
      </c>
      <c r="C125" t="s">
        <v>8</v>
      </c>
      <c r="D125" s="4">
        <v>43632</v>
      </c>
      <c r="E125" s="3">
        <v>0.14583333333333334</v>
      </c>
      <c r="F125" s="3">
        <f t="shared" si="13"/>
        <v>0.22916666666666669</v>
      </c>
      <c r="H125" s="3" t="str">
        <f t="shared" si="9"/>
        <v/>
      </c>
      <c r="I125" s="3"/>
      <c r="J125" t="s">
        <v>67</v>
      </c>
    </row>
    <row r="126" spans="1:12" x14ac:dyDescent="0.3">
      <c r="A126">
        <v>5433</v>
      </c>
      <c r="B126" t="s">
        <v>42</v>
      </c>
      <c r="C126" t="s">
        <v>2</v>
      </c>
      <c r="D126" s="4">
        <v>43640</v>
      </c>
      <c r="E126" s="3">
        <v>0.12013888888888889</v>
      </c>
      <c r="F126" s="3">
        <f t="shared" si="13"/>
        <v>0.20347222222222222</v>
      </c>
      <c r="G126" s="3">
        <v>0.19166666666666668</v>
      </c>
      <c r="H126" s="3">
        <f t="shared" si="9"/>
        <v>0.27500000000000002</v>
      </c>
      <c r="I126" s="3">
        <f>G126-E126</f>
        <v>7.1527777777777787E-2</v>
      </c>
      <c r="J126" t="s">
        <v>67</v>
      </c>
    </row>
    <row r="127" spans="1:12" x14ac:dyDescent="0.3">
      <c r="A127">
        <v>5433</v>
      </c>
      <c r="B127" t="s">
        <v>42</v>
      </c>
      <c r="C127" t="s">
        <v>3</v>
      </c>
      <c r="D127" s="4">
        <v>43641</v>
      </c>
      <c r="E127" s="3">
        <v>0.18680555555555556</v>
      </c>
      <c r="F127" s="3">
        <f t="shared" si="13"/>
        <v>0.27013888888888887</v>
      </c>
      <c r="H127" s="3" t="str">
        <f t="shared" si="9"/>
        <v/>
      </c>
      <c r="I127" s="3"/>
      <c r="J127" t="s">
        <v>43</v>
      </c>
      <c r="K127" t="s">
        <v>70</v>
      </c>
    </row>
    <row r="128" spans="1:12" x14ac:dyDescent="0.3">
      <c r="A128">
        <v>5433</v>
      </c>
      <c r="B128" t="s">
        <v>42</v>
      </c>
      <c r="C128" t="s">
        <v>48</v>
      </c>
      <c r="D128" s="4">
        <v>43631</v>
      </c>
      <c r="E128" s="3">
        <v>0.23194444444444445</v>
      </c>
      <c r="F128" s="3">
        <f t="shared" si="13"/>
        <v>0.31527777777777777</v>
      </c>
      <c r="H128" s="3" t="str">
        <f t="shared" si="9"/>
        <v/>
      </c>
      <c r="I128" s="3"/>
      <c r="J128" t="s">
        <v>43</v>
      </c>
      <c r="K128" t="s">
        <v>70</v>
      </c>
    </row>
    <row r="129" spans="1:11" x14ac:dyDescent="0.3">
      <c r="A129">
        <v>5433</v>
      </c>
      <c r="B129" t="s">
        <v>42</v>
      </c>
      <c r="C129" t="s">
        <v>6</v>
      </c>
      <c r="D129" s="4">
        <v>43623</v>
      </c>
      <c r="E129" s="3">
        <v>0.13750000000000001</v>
      </c>
      <c r="F129" s="3">
        <v>0.22083333333333333</v>
      </c>
      <c r="H129" s="3" t="str">
        <f t="shared" si="9"/>
        <v/>
      </c>
      <c r="I129" s="3"/>
      <c r="J129" t="s">
        <v>43</v>
      </c>
      <c r="K129" t="s">
        <v>70</v>
      </c>
    </row>
    <row r="130" spans="1:11" x14ac:dyDescent="0.3">
      <c r="A130">
        <v>5433</v>
      </c>
      <c r="B130" t="s">
        <v>42</v>
      </c>
      <c r="C130" t="s">
        <v>6</v>
      </c>
      <c r="D130" s="4">
        <v>43637</v>
      </c>
      <c r="E130" s="3">
        <v>0.72152777777777777</v>
      </c>
      <c r="F130" s="3">
        <f t="shared" ref="F130:F135" si="14">IF(E130="","",E130+TIME(2,A719,0))</f>
        <v>0.80486111111111114</v>
      </c>
      <c r="G130" s="3">
        <v>0.72430555555555554</v>
      </c>
      <c r="H130" s="3">
        <f t="shared" si="9"/>
        <v>0.80763888888888891</v>
      </c>
      <c r="I130" s="3">
        <f>G130-E130</f>
        <v>2.7777777777777679E-3</v>
      </c>
      <c r="J130" t="s">
        <v>43</v>
      </c>
      <c r="K130" t="s">
        <v>44</v>
      </c>
    </row>
    <row r="131" spans="1:11" x14ac:dyDescent="0.3">
      <c r="A131">
        <v>5433</v>
      </c>
      <c r="B131" t="s">
        <v>42</v>
      </c>
      <c r="C131" t="s">
        <v>7</v>
      </c>
      <c r="D131" s="4">
        <v>43638</v>
      </c>
      <c r="E131" s="3">
        <v>0.27361111111111114</v>
      </c>
      <c r="F131" s="3">
        <f t="shared" si="14"/>
        <v>0.35694444444444445</v>
      </c>
      <c r="G131" s="3">
        <v>0.2902777777777778</v>
      </c>
      <c r="H131" s="3">
        <f t="shared" si="9"/>
        <v>0.37361111111111112</v>
      </c>
      <c r="I131" s="3">
        <f>G131-E131</f>
        <v>1.6666666666666663E-2</v>
      </c>
      <c r="J131" t="s">
        <v>43</v>
      </c>
      <c r="K131" t="s">
        <v>70</v>
      </c>
    </row>
    <row r="132" spans="1:11" x14ac:dyDescent="0.3">
      <c r="A132">
        <v>5433</v>
      </c>
      <c r="B132" t="s">
        <v>42</v>
      </c>
      <c r="C132" t="s">
        <v>5</v>
      </c>
      <c r="D132" s="4">
        <v>43636</v>
      </c>
      <c r="E132" s="3">
        <v>0.22291666666666668</v>
      </c>
      <c r="F132" s="3">
        <f t="shared" si="14"/>
        <v>0.30625000000000002</v>
      </c>
      <c r="G132" s="3">
        <v>0.26666666666666666</v>
      </c>
      <c r="H132" s="3">
        <f t="shared" si="9"/>
        <v>0.35</v>
      </c>
      <c r="I132" s="3">
        <f>G132-E132</f>
        <v>4.3749999999999983E-2</v>
      </c>
      <c r="J132" t="s">
        <v>43</v>
      </c>
      <c r="K132" t="s">
        <v>70</v>
      </c>
    </row>
    <row r="133" spans="1:11" x14ac:dyDescent="0.3">
      <c r="A133">
        <v>5433</v>
      </c>
      <c r="B133" t="s">
        <v>42</v>
      </c>
      <c r="C133" t="s">
        <v>4</v>
      </c>
      <c r="D133" s="4">
        <v>43621</v>
      </c>
      <c r="E133" s="3">
        <v>0.47708333333333336</v>
      </c>
      <c r="F133" s="3">
        <f t="shared" si="14"/>
        <v>0.56041666666666667</v>
      </c>
      <c r="G133" s="3">
        <v>0.59513888888888888</v>
      </c>
      <c r="H133" s="3">
        <f t="shared" si="9"/>
        <v>0.67847222222222225</v>
      </c>
      <c r="I133" s="3">
        <f>G133-E133</f>
        <v>0.11805555555555552</v>
      </c>
      <c r="J133" t="s">
        <v>43</v>
      </c>
      <c r="K133" t="s">
        <v>45</v>
      </c>
    </row>
    <row r="134" spans="1:11" x14ac:dyDescent="0.3">
      <c r="A134">
        <v>5433</v>
      </c>
      <c r="B134" t="s">
        <v>42</v>
      </c>
      <c r="C134" t="s">
        <v>4</v>
      </c>
      <c r="D134" s="4">
        <v>43642</v>
      </c>
      <c r="E134" s="3">
        <v>0.1423611111111111</v>
      </c>
      <c r="F134" s="3">
        <f t="shared" si="14"/>
        <v>0.22569444444444442</v>
      </c>
      <c r="G134" s="3">
        <v>0.15208333333333332</v>
      </c>
      <c r="H134" s="3">
        <f t="shared" si="9"/>
        <v>0.23541666666666666</v>
      </c>
      <c r="I134" s="3">
        <f>G134-E134</f>
        <v>9.7222222222222154E-3</v>
      </c>
      <c r="J134" t="s">
        <v>43</v>
      </c>
      <c r="K134" t="s">
        <v>70</v>
      </c>
    </row>
    <row r="135" spans="1:11" x14ac:dyDescent="0.3">
      <c r="A135">
        <v>5433</v>
      </c>
      <c r="B135" t="s">
        <v>42</v>
      </c>
      <c r="C135" t="s">
        <v>3</v>
      </c>
      <c r="D135" s="4">
        <v>43634</v>
      </c>
      <c r="E135" s="3">
        <v>0.25277777777777777</v>
      </c>
      <c r="F135" s="3">
        <f t="shared" si="14"/>
        <v>0.33611111111111108</v>
      </c>
      <c r="H135" s="3" t="str">
        <f t="shared" si="9"/>
        <v/>
      </c>
      <c r="I135" s="3"/>
      <c r="J135" t="s">
        <v>43</v>
      </c>
      <c r="K135" t="s">
        <v>78</v>
      </c>
    </row>
    <row r="136" spans="1:11" x14ac:dyDescent="0.3">
      <c r="A136">
        <v>5433</v>
      </c>
      <c r="B136" t="s">
        <v>42</v>
      </c>
      <c r="C136" t="s">
        <v>2</v>
      </c>
      <c r="D136" s="4">
        <v>43675</v>
      </c>
      <c r="E136" s="3">
        <v>0.41805555555555557</v>
      </c>
      <c r="F136" s="3">
        <f>IF(E136="","",E136+TIME(2,A763,0))</f>
        <v>0.50138888888888888</v>
      </c>
      <c r="H136" s="3" t="str">
        <f t="shared" ref="H136:H149" si="15">IF(G136="","",G136+TIME(2,0,0))</f>
        <v/>
      </c>
      <c r="I136" s="3"/>
      <c r="J136" t="s">
        <v>67</v>
      </c>
    </row>
    <row r="137" spans="1:11" x14ac:dyDescent="0.3">
      <c r="A137">
        <v>5433</v>
      </c>
      <c r="B137" t="s">
        <v>42</v>
      </c>
      <c r="C137" t="s">
        <v>7</v>
      </c>
      <c r="D137" s="4">
        <v>43673</v>
      </c>
      <c r="E137" s="3">
        <v>0.20694444444444443</v>
      </c>
      <c r="F137" s="3">
        <f>IF(E137="","",E137+TIME(2,A763,0))</f>
        <v>0.29027777777777775</v>
      </c>
      <c r="H137" s="3" t="str">
        <f t="shared" si="15"/>
        <v/>
      </c>
      <c r="I137" s="3"/>
      <c r="J137" t="s">
        <v>43</v>
      </c>
      <c r="K137" t="s">
        <v>70</v>
      </c>
    </row>
    <row r="138" spans="1:11" x14ac:dyDescent="0.3">
      <c r="A138">
        <v>5433</v>
      </c>
      <c r="B138" t="s">
        <v>42</v>
      </c>
      <c r="C138" t="s">
        <v>7</v>
      </c>
      <c r="D138" s="4">
        <v>43666</v>
      </c>
      <c r="E138" s="3">
        <v>0.17430555555555555</v>
      </c>
      <c r="F138" s="3">
        <f>IF(E138="","",E138+TIME(2,A763,0))</f>
        <v>0.25763888888888886</v>
      </c>
      <c r="H138" s="3" t="str">
        <f t="shared" si="15"/>
        <v/>
      </c>
      <c r="I138" s="3"/>
      <c r="J138" t="s">
        <v>43</v>
      </c>
      <c r="K138" t="s">
        <v>78</v>
      </c>
    </row>
    <row r="139" spans="1:11" x14ac:dyDescent="0.3">
      <c r="A139">
        <v>5433</v>
      </c>
      <c r="B139" t="s">
        <v>42</v>
      </c>
      <c r="C139" t="s">
        <v>8</v>
      </c>
      <c r="D139" s="4">
        <v>43667</v>
      </c>
      <c r="E139" s="3">
        <v>0.43888888888888888</v>
      </c>
      <c r="F139" s="3">
        <f>IF(E139="","",E139+TIME(2,A763,0))</f>
        <v>0.52222222222222225</v>
      </c>
      <c r="H139" s="3" t="str">
        <f t="shared" si="15"/>
        <v/>
      </c>
      <c r="I139" s="3"/>
      <c r="J139" t="s">
        <v>67</v>
      </c>
    </row>
    <row r="140" spans="1:11" x14ac:dyDescent="0.3">
      <c r="A140">
        <v>5433</v>
      </c>
      <c r="B140" t="s">
        <v>42</v>
      </c>
      <c r="C140" t="s">
        <v>5</v>
      </c>
      <c r="D140" s="4">
        <v>43664</v>
      </c>
      <c r="E140" s="3">
        <v>0.17569444444444443</v>
      </c>
      <c r="F140" s="3">
        <f>IF(E140="","",E140+TIME(2,A763,0))</f>
        <v>0.25902777777777775</v>
      </c>
      <c r="H140" s="3" t="str">
        <f t="shared" si="15"/>
        <v/>
      </c>
      <c r="I140" s="3"/>
      <c r="J140" t="s">
        <v>43</v>
      </c>
      <c r="K140" t="s">
        <v>78</v>
      </c>
    </row>
    <row r="141" spans="1:11" x14ac:dyDescent="0.3">
      <c r="A141">
        <v>5433</v>
      </c>
      <c r="B141" t="s">
        <v>42</v>
      </c>
      <c r="C141" t="s">
        <v>3</v>
      </c>
      <c r="D141" s="4">
        <v>43669</v>
      </c>
      <c r="E141" s="3">
        <v>0.25416666666666665</v>
      </c>
      <c r="F141" s="3">
        <f>IF(E141="","",E141+TIME(2,A763,0))</f>
        <v>0.33749999999999997</v>
      </c>
      <c r="H141" s="3" t="str">
        <f t="shared" si="15"/>
        <v/>
      </c>
      <c r="I141" s="3"/>
      <c r="J141" t="s">
        <v>43</v>
      </c>
      <c r="K141" t="s">
        <v>78</v>
      </c>
    </row>
    <row r="142" spans="1:11" x14ac:dyDescent="0.3">
      <c r="A142">
        <v>5433</v>
      </c>
      <c r="B142" t="s">
        <v>42</v>
      </c>
      <c r="C142" t="s">
        <v>7</v>
      </c>
      <c r="D142" s="4">
        <v>43652</v>
      </c>
      <c r="E142" s="3">
        <v>0.19375000000000001</v>
      </c>
      <c r="F142" s="3">
        <f>IF(E142="","",E142+TIME(2,A763,0))</f>
        <v>0.27708333333333335</v>
      </c>
      <c r="H142" s="3" t="str">
        <f t="shared" si="15"/>
        <v/>
      </c>
      <c r="I142" s="3"/>
      <c r="J142" t="s">
        <v>43</v>
      </c>
      <c r="K142" t="s">
        <v>70</v>
      </c>
    </row>
    <row r="143" spans="1:11" x14ac:dyDescent="0.3">
      <c r="A143">
        <v>5433</v>
      </c>
      <c r="B143" t="s">
        <v>42</v>
      </c>
      <c r="C143" t="s">
        <v>6</v>
      </c>
      <c r="D143" s="4">
        <v>43658</v>
      </c>
      <c r="E143" s="3">
        <v>0.7680555555555556</v>
      </c>
      <c r="F143" s="3">
        <f>IF(E143="","",E143+TIME(2,A763,0))</f>
        <v>0.85138888888888897</v>
      </c>
      <c r="H143" s="3" t="str">
        <f t="shared" si="15"/>
        <v/>
      </c>
      <c r="I143" s="3"/>
      <c r="J143" t="s">
        <v>43</v>
      </c>
      <c r="K143" t="s">
        <v>44</v>
      </c>
    </row>
    <row r="144" spans="1:11" x14ac:dyDescent="0.3">
      <c r="A144">
        <v>5433</v>
      </c>
      <c r="B144" t="s">
        <v>42</v>
      </c>
      <c r="C144" t="s">
        <v>6</v>
      </c>
      <c r="D144" s="4">
        <v>43665</v>
      </c>
      <c r="E144" s="3">
        <v>0.61041666666666672</v>
      </c>
      <c r="F144" s="3">
        <f>IF(E144="","",E144+TIME(2,A763,0))</f>
        <v>0.69375000000000009</v>
      </c>
      <c r="H144" s="3" t="str">
        <f t="shared" si="15"/>
        <v/>
      </c>
      <c r="I144" s="3"/>
      <c r="J144" t="s">
        <v>43</v>
      </c>
      <c r="K144" t="s">
        <v>49</v>
      </c>
    </row>
    <row r="145" spans="1:12" x14ac:dyDescent="0.3">
      <c r="A145">
        <v>5433</v>
      </c>
      <c r="B145" t="s">
        <v>42</v>
      </c>
      <c r="C145" t="s">
        <v>5</v>
      </c>
      <c r="D145" s="4">
        <v>43657</v>
      </c>
      <c r="E145" s="3">
        <v>0.12986111111111112</v>
      </c>
      <c r="F145" s="3">
        <f>IF(E145="","",E145+TIME(2,A763,0))</f>
        <v>0.21319444444444446</v>
      </c>
      <c r="H145" s="3" t="str">
        <f t="shared" si="15"/>
        <v/>
      </c>
      <c r="I145" s="3"/>
      <c r="J145" t="s">
        <v>43</v>
      </c>
      <c r="K145" t="s">
        <v>70</v>
      </c>
    </row>
    <row r="146" spans="1:12" x14ac:dyDescent="0.3">
      <c r="A146">
        <v>5433</v>
      </c>
      <c r="B146" t="s">
        <v>42</v>
      </c>
      <c r="C146" t="s">
        <v>6</v>
      </c>
      <c r="D146" s="4">
        <v>43651</v>
      </c>
      <c r="E146" s="3">
        <v>0.2638888888888889</v>
      </c>
      <c r="F146" s="3">
        <f>IF(E146="","",E146+TIME(2,A763,0))</f>
        <v>0.34722222222222221</v>
      </c>
      <c r="H146" s="3" t="str">
        <f t="shared" si="15"/>
        <v/>
      </c>
      <c r="I146" s="3"/>
      <c r="J146" t="s">
        <v>43</v>
      </c>
      <c r="K146" t="s">
        <v>70</v>
      </c>
    </row>
    <row r="147" spans="1:12" x14ac:dyDescent="0.3">
      <c r="A147">
        <v>5433</v>
      </c>
      <c r="B147" t="s">
        <v>42</v>
      </c>
      <c r="C147" t="s">
        <v>8</v>
      </c>
      <c r="D147" s="4">
        <v>43653</v>
      </c>
      <c r="E147" s="3">
        <v>0.34861111111111109</v>
      </c>
      <c r="F147" s="3">
        <f>IF(E147="","",E147+TIME(2,A774,0))</f>
        <v>0.43194444444444441</v>
      </c>
      <c r="H147" s="3" t="str">
        <f t="shared" si="15"/>
        <v/>
      </c>
      <c r="I147" s="3"/>
      <c r="J147" t="s">
        <v>67</v>
      </c>
    </row>
    <row r="148" spans="1:12" x14ac:dyDescent="0.3">
      <c r="A148">
        <v>5433</v>
      </c>
      <c r="B148" t="s">
        <v>42</v>
      </c>
      <c r="C148" t="s">
        <v>4</v>
      </c>
      <c r="D148" s="4">
        <v>43656</v>
      </c>
      <c r="E148" s="3">
        <v>0.77430555555555558</v>
      </c>
      <c r="F148" s="3">
        <f>IF(E148="","",E148+TIME(2,A774,0))</f>
        <v>0.85763888888888895</v>
      </c>
      <c r="H148" s="3" t="str">
        <f t="shared" si="15"/>
        <v/>
      </c>
      <c r="I148" s="3"/>
      <c r="J148" t="s">
        <v>43</v>
      </c>
      <c r="K148" t="s">
        <v>46</v>
      </c>
    </row>
    <row r="149" spans="1:12" x14ac:dyDescent="0.3">
      <c r="A149">
        <v>5433</v>
      </c>
      <c r="B149" t="s">
        <v>42</v>
      </c>
      <c r="C149" t="s">
        <v>4</v>
      </c>
      <c r="D149" s="4">
        <v>43649</v>
      </c>
      <c r="E149" s="3">
        <v>0.30763888888888891</v>
      </c>
      <c r="F149" s="3">
        <f>IF(E149="","",E149+TIME(2,A774,0))</f>
        <v>0.39097222222222222</v>
      </c>
      <c r="H149" s="3" t="str">
        <f t="shared" si="15"/>
        <v/>
      </c>
      <c r="I149" s="3"/>
      <c r="J149" t="s">
        <v>43</v>
      </c>
      <c r="K149" t="s">
        <v>49</v>
      </c>
    </row>
    <row r="150" spans="1:12" x14ac:dyDescent="0.3">
      <c r="A150">
        <v>5693</v>
      </c>
      <c r="B150" t="s">
        <v>42</v>
      </c>
      <c r="C150" t="s">
        <v>5</v>
      </c>
      <c r="D150" s="4">
        <v>43279</v>
      </c>
      <c r="E150" s="3">
        <v>0.43611111111111112</v>
      </c>
      <c r="F150" s="3">
        <f>IF(E150="","",E150+TIME(2,A725,0))</f>
        <v>0.51944444444444449</v>
      </c>
      <c r="G150" s="3">
        <v>0.51180555555555551</v>
      </c>
      <c r="H150" s="3">
        <f t="shared" si="9"/>
        <v>0.59513888888888888</v>
      </c>
      <c r="I150" s="3">
        <f t="shared" ref="I150:I155" si="16">G150-E150</f>
        <v>7.5694444444444398E-2</v>
      </c>
      <c r="J150" t="s">
        <v>43</v>
      </c>
      <c r="K150" t="s">
        <v>45</v>
      </c>
      <c r="L150" t="s">
        <v>86</v>
      </c>
    </row>
    <row r="151" spans="1:12" x14ac:dyDescent="0.3">
      <c r="A151">
        <v>5693</v>
      </c>
      <c r="B151" t="s">
        <v>42</v>
      </c>
      <c r="C151" t="s">
        <v>6</v>
      </c>
      <c r="D151" s="4">
        <v>43280</v>
      </c>
      <c r="E151" s="3">
        <v>0.58888888888888891</v>
      </c>
      <c r="F151" s="3">
        <f>IF(E151="","",E151+TIME(2,A726,0))</f>
        <v>0.67222222222222228</v>
      </c>
      <c r="G151" s="3">
        <v>0.65069444444444446</v>
      </c>
      <c r="H151" s="3">
        <f t="shared" si="9"/>
        <v>0.73402777777777783</v>
      </c>
      <c r="I151" s="3">
        <f t="shared" si="16"/>
        <v>6.1805555555555558E-2</v>
      </c>
      <c r="J151" t="s">
        <v>43</v>
      </c>
      <c r="K151" t="s">
        <v>85</v>
      </c>
    </row>
    <row r="152" spans="1:12" x14ac:dyDescent="0.3">
      <c r="A152">
        <v>5693</v>
      </c>
      <c r="B152" t="s">
        <v>42</v>
      </c>
      <c r="C152" t="s">
        <v>3</v>
      </c>
      <c r="D152" s="4">
        <v>43277</v>
      </c>
      <c r="E152" s="3">
        <v>0.59375</v>
      </c>
      <c r="F152" s="3">
        <f>IF(E152="","",E152+TIME(2,A727,0))</f>
        <v>0.67708333333333337</v>
      </c>
      <c r="G152" s="3">
        <v>0.6381944444444444</v>
      </c>
      <c r="H152" s="3">
        <f t="shared" ref="H152:H155" si="17">IF(G152="","",G152+TIME(2,0,0))</f>
        <v>0.72152777777777777</v>
      </c>
      <c r="I152" s="3">
        <f t="shared" si="16"/>
        <v>4.4444444444444398E-2</v>
      </c>
      <c r="J152" t="s">
        <v>43</v>
      </c>
      <c r="K152" t="s">
        <v>85</v>
      </c>
    </row>
    <row r="153" spans="1:12" x14ac:dyDescent="0.3">
      <c r="A153">
        <v>5693</v>
      </c>
      <c r="B153" t="s">
        <v>42</v>
      </c>
      <c r="C153" t="s">
        <v>7</v>
      </c>
      <c r="D153" s="4">
        <v>43281</v>
      </c>
      <c r="E153" s="3">
        <v>0.14374999999999999</v>
      </c>
      <c r="F153" s="3">
        <f>IF(E153="","",E153+TIME(2,A728,0))</f>
        <v>0.2270833333333333</v>
      </c>
      <c r="G153" s="3">
        <v>0.17430555555555555</v>
      </c>
      <c r="H153" s="3">
        <f t="shared" si="17"/>
        <v>0.25763888888888886</v>
      </c>
      <c r="I153" s="3">
        <f t="shared" si="16"/>
        <v>3.0555555555555558E-2</v>
      </c>
      <c r="J153" t="s">
        <v>43</v>
      </c>
      <c r="K153" t="s">
        <v>70</v>
      </c>
    </row>
    <row r="154" spans="1:12" x14ac:dyDescent="0.3">
      <c r="A154">
        <v>5693</v>
      </c>
      <c r="B154" t="s">
        <v>42</v>
      </c>
      <c r="C154" t="s">
        <v>8</v>
      </c>
      <c r="D154" s="4">
        <v>43275</v>
      </c>
      <c r="E154" s="3">
        <v>0.79583333333333328</v>
      </c>
      <c r="F154" s="3">
        <v>0.87916666666666665</v>
      </c>
      <c r="G154" s="3">
        <v>0.8256944444444444</v>
      </c>
      <c r="H154" s="3">
        <f t="shared" si="17"/>
        <v>0.90902777777777777</v>
      </c>
      <c r="I154" s="3">
        <f t="shared" si="16"/>
        <v>2.9861111111111116E-2</v>
      </c>
      <c r="J154" t="s">
        <v>67</v>
      </c>
    </row>
    <row r="155" spans="1:12" x14ac:dyDescent="0.3">
      <c r="A155">
        <v>5693</v>
      </c>
      <c r="B155" t="s">
        <v>42</v>
      </c>
      <c r="C155" t="s">
        <v>8</v>
      </c>
      <c r="D155" s="4">
        <v>43282</v>
      </c>
      <c r="E155" s="3">
        <v>0.22847222222222222</v>
      </c>
      <c r="F155" s="3">
        <f>IF(E155="","",E155+TIME(2,A730,0))</f>
        <v>0.31180555555555556</v>
      </c>
      <c r="G155" s="3">
        <v>0.32500000000000001</v>
      </c>
      <c r="H155" s="3">
        <f t="shared" si="17"/>
        <v>0.40833333333333333</v>
      </c>
      <c r="I155" s="3">
        <f t="shared" si="16"/>
        <v>9.6527777777777796E-2</v>
      </c>
      <c r="J155" t="s">
        <v>67</v>
      </c>
    </row>
    <row r="156" spans="1:12" x14ac:dyDescent="0.3">
      <c r="A156">
        <v>5693</v>
      </c>
      <c r="B156" t="s">
        <v>42</v>
      </c>
      <c r="C156" t="s">
        <v>3</v>
      </c>
      <c r="D156" s="4">
        <v>43284</v>
      </c>
      <c r="E156" s="3">
        <v>0.69305555555555554</v>
      </c>
      <c r="F156" s="3">
        <f>IF(E156="","",E156+TIME(2,A783,0))</f>
        <v>0.77638888888888891</v>
      </c>
      <c r="H156" s="3" t="str">
        <f t="shared" ref="H156:H160" si="18">IF(G156="","",G156+TIME(2,0,0))</f>
        <v/>
      </c>
      <c r="I156" s="3"/>
      <c r="J156" t="s">
        <v>43</v>
      </c>
      <c r="K156" t="s">
        <v>46</v>
      </c>
    </row>
    <row r="157" spans="1:12" x14ac:dyDescent="0.3">
      <c r="A157">
        <v>5693</v>
      </c>
      <c r="B157" t="s">
        <v>42</v>
      </c>
      <c r="C157" t="s">
        <v>7</v>
      </c>
      <c r="D157" s="4">
        <v>43288</v>
      </c>
      <c r="E157" s="3">
        <v>0.4465277777777778</v>
      </c>
      <c r="F157" s="3">
        <f>IF(E157="","",E157+TIME(2,A784,0))</f>
        <v>0.52986111111111112</v>
      </c>
      <c r="H157" s="3" t="str">
        <f t="shared" si="18"/>
        <v/>
      </c>
      <c r="I157" s="3"/>
      <c r="J157" t="s">
        <v>43</v>
      </c>
      <c r="K157" t="s">
        <v>49</v>
      </c>
    </row>
    <row r="158" spans="1:12" x14ac:dyDescent="0.3">
      <c r="A158">
        <v>5693</v>
      </c>
      <c r="B158" t="s">
        <v>42</v>
      </c>
      <c r="C158" t="s">
        <v>3</v>
      </c>
      <c r="D158" s="4">
        <v>43298</v>
      </c>
      <c r="E158" s="3">
        <v>0.57986111111111116</v>
      </c>
      <c r="F158" s="3">
        <f>IF(E158="","",E158+TIME(2,A785,0))</f>
        <v>0.66319444444444453</v>
      </c>
      <c r="H158" s="3" t="str">
        <f t="shared" si="18"/>
        <v/>
      </c>
      <c r="I158" s="3"/>
      <c r="J158" t="s">
        <v>43</v>
      </c>
      <c r="K158" t="s">
        <v>49</v>
      </c>
    </row>
    <row r="159" spans="1:12" x14ac:dyDescent="0.3">
      <c r="A159">
        <v>5693</v>
      </c>
      <c r="B159" t="s">
        <v>42</v>
      </c>
      <c r="C159" t="s">
        <v>4</v>
      </c>
      <c r="D159" s="4">
        <v>43285</v>
      </c>
      <c r="E159" s="3">
        <v>0.34027777777777779</v>
      </c>
      <c r="F159" s="3">
        <f>IF(E159="","",E159+TIME(2,A786,0))</f>
        <v>0.4236111111111111</v>
      </c>
      <c r="H159" s="3" t="str">
        <f t="shared" si="18"/>
        <v/>
      </c>
      <c r="I159" s="3"/>
      <c r="J159" t="s">
        <v>43</v>
      </c>
      <c r="K159" t="s">
        <v>49</v>
      </c>
    </row>
    <row r="160" spans="1:12" x14ac:dyDescent="0.3">
      <c r="A160">
        <v>5693</v>
      </c>
      <c r="B160" t="s">
        <v>42</v>
      </c>
      <c r="C160" t="s">
        <v>6</v>
      </c>
      <c r="D160" s="4">
        <v>43287</v>
      </c>
      <c r="E160" s="3">
        <v>0.41805555555555557</v>
      </c>
      <c r="F160" s="3">
        <f>IF(E160="","",E160+TIME(2,A787,0))</f>
        <v>0.50138888888888888</v>
      </c>
      <c r="H160" s="3" t="str">
        <f t="shared" si="18"/>
        <v/>
      </c>
      <c r="I160" s="3"/>
      <c r="J160" t="s">
        <v>43</v>
      </c>
      <c r="K160" t="s">
        <v>189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9847-126F-4C59-AAB4-89E84F195972}">
  <dimension ref="A1:C11"/>
  <sheetViews>
    <sheetView topLeftCell="A4" workbookViewId="0">
      <selection activeCell="B21" sqref="B21"/>
    </sheetView>
  </sheetViews>
  <sheetFormatPr defaultRowHeight="14.4" x14ac:dyDescent="0.3"/>
  <cols>
    <col min="1" max="1" width="15.77734375" customWidth="1"/>
    <col min="2" max="2" width="50.77734375" customWidth="1"/>
  </cols>
  <sheetData>
    <row r="1" spans="1:3" x14ac:dyDescent="0.3">
      <c r="A1" t="s">
        <v>26</v>
      </c>
      <c r="B1" t="s">
        <v>32</v>
      </c>
      <c r="C1" t="s">
        <v>59</v>
      </c>
    </row>
    <row r="2" spans="1:3" x14ac:dyDescent="0.3">
      <c r="A2">
        <v>5615</v>
      </c>
      <c r="B2" t="s">
        <v>54</v>
      </c>
      <c r="C2">
        <v>2024</v>
      </c>
    </row>
    <row r="3" spans="1:3" x14ac:dyDescent="0.3">
      <c r="A3">
        <v>7090</v>
      </c>
      <c r="B3" t="s">
        <v>54</v>
      </c>
      <c r="C3">
        <v>2023</v>
      </c>
    </row>
    <row r="4" spans="1:3" x14ac:dyDescent="0.3">
      <c r="A4">
        <v>5965</v>
      </c>
      <c r="B4" t="s">
        <v>71</v>
      </c>
      <c r="C4">
        <v>2023</v>
      </c>
    </row>
    <row r="5" spans="1:3" x14ac:dyDescent="0.3">
      <c r="A5">
        <v>5557</v>
      </c>
      <c r="B5" t="s">
        <v>55</v>
      </c>
      <c r="C5">
        <v>2023</v>
      </c>
    </row>
    <row r="6" spans="1:3" x14ac:dyDescent="0.3">
      <c r="A6">
        <v>5579</v>
      </c>
      <c r="B6" t="s">
        <v>53</v>
      </c>
      <c r="C6">
        <v>2023</v>
      </c>
    </row>
    <row r="7" spans="1:3" x14ac:dyDescent="0.3">
      <c r="A7">
        <v>5654</v>
      </c>
      <c r="B7" t="s">
        <v>81</v>
      </c>
      <c r="C7">
        <v>2023</v>
      </c>
    </row>
    <row r="8" spans="1:3" x14ac:dyDescent="0.3">
      <c r="A8">
        <v>5998</v>
      </c>
      <c r="B8" t="s">
        <v>60</v>
      </c>
      <c r="C8">
        <v>2022</v>
      </c>
    </row>
    <row r="9" spans="1:3" x14ac:dyDescent="0.3">
      <c r="A9">
        <v>5491</v>
      </c>
      <c r="B9" t="s">
        <v>61</v>
      </c>
      <c r="C9">
        <v>2019</v>
      </c>
    </row>
    <row r="10" spans="1:3" x14ac:dyDescent="0.3">
      <c r="A10">
        <v>5433</v>
      </c>
      <c r="B10" t="s">
        <v>54</v>
      </c>
      <c r="C10">
        <v>2019</v>
      </c>
    </row>
    <row r="11" spans="1:3" x14ac:dyDescent="0.3">
      <c r="A11">
        <v>5693</v>
      </c>
      <c r="B11" t="s">
        <v>54</v>
      </c>
      <c r="C11">
        <v>2018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F910-7AA2-4B65-98E8-AA97995679F1}">
  <dimension ref="A1:H86"/>
  <sheetViews>
    <sheetView topLeftCell="A15" zoomScale="92" zoomScaleNormal="92" workbookViewId="0">
      <selection activeCell="E91" sqref="E91"/>
    </sheetView>
  </sheetViews>
  <sheetFormatPr defaultRowHeight="14.4" x14ac:dyDescent="0.3"/>
  <cols>
    <col min="1" max="5" width="25.77734375" customWidth="1"/>
  </cols>
  <sheetData>
    <row r="1" spans="1:8" ht="19.95" customHeight="1" x14ac:dyDescent="0.3">
      <c r="A1" t="s">
        <v>26</v>
      </c>
      <c r="B1" t="s">
        <v>87</v>
      </c>
      <c r="C1" t="s">
        <v>28</v>
      </c>
      <c r="D1" t="s">
        <v>100</v>
      </c>
      <c r="E1" t="s">
        <v>102</v>
      </c>
      <c r="F1" t="s">
        <v>150</v>
      </c>
      <c r="G1" t="s">
        <v>160</v>
      </c>
      <c r="H1" t="s">
        <v>50</v>
      </c>
    </row>
    <row r="2" spans="1:8" ht="19.95" customHeight="1" x14ac:dyDescent="0.3">
      <c r="A2">
        <v>7090</v>
      </c>
      <c r="B2" t="s">
        <v>8</v>
      </c>
      <c r="C2" s="4">
        <v>45053</v>
      </c>
      <c r="D2" s="4" t="s">
        <v>51</v>
      </c>
      <c r="E2" s="4" t="s">
        <v>51</v>
      </c>
      <c r="F2" s="4"/>
      <c r="G2" s="4"/>
      <c r="H2" t="s">
        <v>88</v>
      </c>
    </row>
    <row r="3" spans="1:8" ht="19.95" customHeight="1" x14ac:dyDescent="0.3">
      <c r="A3">
        <v>7090</v>
      </c>
      <c r="B3" t="s">
        <v>8</v>
      </c>
      <c r="C3" s="4">
        <v>45060</v>
      </c>
      <c r="D3" s="4" t="s">
        <v>43</v>
      </c>
      <c r="E3" s="4" t="s">
        <v>43</v>
      </c>
      <c r="F3" s="3">
        <v>0.25</v>
      </c>
      <c r="G3" s="3"/>
      <c r="H3" t="s">
        <v>91</v>
      </c>
    </row>
    <row r="4" spans="1:8" ht="19.95" customHeight="1" x14ac:dyDescent="0.3">
      <c r="A4">
        <v>7090</v>
      </c>
      <c r="B4" t="s">
        <v>8</v>
      </c>
      <c r="C4" s="4">
        <v>45067</v>
      </c>
      <c r="D4" s="4" t="s">
        <v>67</v>
      </c>
      <c r="E4" s="4" t="s">
        <v>43</v>
      </c>
      <c r="F4" s="4"/>
      <c r="G4" s="4"/>
      <c r="H4" t="s">
        <v>89</v>
      </c>
    </row>
    <row r="5" spans="1:8" ht="19.95" customHeight="1" x14ac:dyDescent="0.3">
      <c r="A5">
        <v>7090</v>
      </c>
      <c r="B5" t="s">
        <v>8</v>
      </c>
      <c r="C5" s="4">
        <v>45074</v>
      </c>
      <c r="D5" s="4" t="s">
        <v>67</v>
      </c>
      <c r="E5" s="4" t="s">
        <v>43</v>
      </c>
      <c r="F5" s="4"/>
      <c r="G5" s="4"/>
      <c r="H5" t="s">
        <v>90</v>
      </c>
    </row>
    <row r="6" spans="1:8" ht="19.95" customHeight="1" x14ac:dyDescent="0.3">
      <c r="A6">
        <v>7090</v>
      </c>
      <c r="B6" t="s">
        <v>8</v>
      </c>
      <c r="C6" s="4">
        <v>45081</v>
      </c>
      <c r="D6" s="4" t="s">
        <v>43</v>
      </c>
      <c r="E6" s="4" t="s">
        <v>43</v>
      </c>
      <c r="F6" s="5"/>
      <c r="G6" s="5"/>
      <c r="H6" t="s">
        <v>92</v>
      </c>
    </row>
    <row r="7" spans="1:8" ht="19.95" customHeight="1" x14ac:dyDescent="0.3">
      <c r="A7">
        <v>7090</v>
      </c>
      <c r="B7" t="s">
        <v>8</v>
      </c>
      <c r="C7" s="4">
        <v>45088</v>
      </c>
      <c r="D7" s="4" t="s">
        <v>43</v>
      </c>
      <c r="E7" s="4" t="s">
        <v>43</v>
      </c>
      <c r="F7" s="3">
        <v>0.625</v>
      </c>
      <c r="G7" s="3">
        <v>0.75</v>
      </c>
      <c r="H7" t="s">
        <v>93</v>
      </c>
    </row>
    <row r="8" spans="1:8" ht="19.95" customHeight="1" x14ac:dyDescent="0.3">
      <c r="A8">
        <v>7090</v>
      </c>
      <c r="B8" t="s">
        <v>8</v>
      </c>
      <c r="C8" s="4">
        <v>45095</v>
      </c>
      <c r="D8" s="4" t="s">
        <v>43</v>
      </c>
      <c r="E8" s="4" t="s">
        <v>43</v>
      </c>
      <c r="F8" s="3">
        <v>0.25</v>
      </c>
      <c r="G8" s="3">
        <v>0.85416666666666663</v>
      </c>
      <c r="H8" t="s">
        <v>94</v>
      </c>
    </row>
    <row r="9" spans="1:8" ht="19.95" customHeight="1" x14ac:dyDescent="0.3">
      <c r="A9">
        <v>7090</v>
      </c>
      <c r="B9" t="s">
        <v>8</v>
      </c>
      <c r="C9" s="4">
        <v>45102</v>
      </c>
      <c r="D9" s="4" t="s">
        <v>43</v>
      </c>
      <c r="E9" s="4" t="s">
        <v>43</v>
      </c>
      <c r="F9" s="3">
        <v>0.20833333333333334</v>
      </c>
      <c r="G9" s="3">
        <v>0.29166666666666669</v>
      </c>
      <c r="H9" t="s">
        <v>95</v>
      </c>
    </row>
    <row r="10" spans="1:8" ht="19.95" customHeight="1" x14ac:dyDescent="0.3">
      <c r="A10">
        <v>5615</v>
      </c>
      <c r="B10" t="s">
        <v>8</v>
      </c>
      <c r="C10" s="4">
        <v>45417</v>
      </c>
      <c r="D10" s="4" t="s">
        <v>67</v>
      </c>
      <c r="E10" s="4" t="s">
        <v>43</v>
      </c>
      <c r="F10" s="4"/>
      <c r="G10" s="4"/>
      <c r="H10" t="s">
        <v>96</v>
      </c>
    </row>
    <row r="11" spans="1:8" ht="19.95" customHeight="1" x14ac:dyDescent="0.3">
      <c r="A11">
        <v>5615</v>
      </c>
      <c r="B11" t="s">
        <v>8</v>
      </c>
      <c r="C11" s="4">
        <v>45424</v>
      </c>
      <c r="D11" s="4" t="s">
        <v>67</v>
      </c>
      <c r="E11" s="4" t="s">
        <v>67</v>
      </c>
      <c r="F11" s="4"/>
      <c r="G11" s="4"/>
      <c r="H11" t="s">
        <v>97</v>
      </c>
    </row>
    <row r="12" spans="1:8" ht="19.95" customHeight="1" x14ac:dyDescent="0.3">
      <c r="A12">
        <v>5615</v>
      </c>
      <c r="B12" t="s">
        <v>8</v>
      </c>
      <c r="C12" s="4">
        <v>45431</v>
      </c>
      <c r="D12" s="4" t="s">
        <v>67</v>
      </c>
      <c r="E12" s="4" t="s">
        <v>67</v>
      </c>
      <c r="F12" s="4"/>
      <c r="G12" s="4"/>
      <c r="H12" t="s">
        <v>98</v>
      </c>
    </row>
    <row r="13" spans="1:8" ht="19.95" customHeight="1" x14ac:dyDescent="0.3">
      <c r="A13">
        <v>5615</v>
      </c>
      <c r="B13" t="s">
        <v>8</v>
      </c>
      <c r="C13" s="4">
        <v>45438</v>
      </c>
      <c r="D13" s="4" t="s">
        <v>67</v>
      </c>
      <c r="E13" s="4" t="s">
        <v>67</v>
      </c>
      <c r="F13" s="4"/>
      <c r="G13" s="4"/>
      <c r="H13" t="s">
        <v>99</v>
      </c>
    </row>
    <row r="14" spans="1:8" ht="19.95" customHeight="1" x14ac:dyDescent="0.3">
      <c r="A14">
        <v>5615</v>
      </c>
      <c r="B14" t="s">
        <v>8</v>
      </c>
      <c r="C14" s="4">
        <v>45445</v>
      </c>
      <c r="D14" s="4" t="s">
        <v>67</v>
      </c>
      <c r="E14" s="4" t="s">
        <v>67</v>
      </c>
      <c r="F14" s="4"/>
      <c r="G14" s="4"/>
      <c r="H14" t="s">
        <v>101</v>
      </c>
    </row>
    <row r="15" spans="1:8" ht="19.95" customHeight="1" x14ac:dyDescent="0.3">
      <c r="A15">
        <v>5615</v>
      </c>
      <c r="B15" t="s">
        <v>8</v>
      </c>
      <c r="C15" s="4">
        <v>45452</v>
      </c>
      <c r="D15" s="4" t="s">
        <v>67</v>
      </c>
      <c r="E15" s="4" t="s">
        <v>67</v>
      </c>
      <c r="F15" s="4"/>
      <c r="G15" s="4"/>
      <c r="H15" t="s">
        <v>103</v>
      </c>
    </row>
    <row r="16" spans="1:8" ht="19.95" customHeight="1" x14ac:dyDescent="0.3">
      <c r="A16">
        <v>5615</v>
      </c>
      <c r="B16" t="s">
        <v>8</v>
      </c>
      <c r="C16" s="4">
        <v>45459</v>
      </c>
      <c r="D16" s="4" t="s">
        <v>43</v>
      </c>
      <c r="E16" s="4" t="s">
        <v>67</v>
      </c>
      <c r="F16" s="4"/>
      <c r="G16" s="4"/>
      <c r="H16" t="s">
        <v>104</v>
      </c>
    </row>
    <row r="17" spans="1:8" ht="19.95" customHeight="1" x14ac:dyDescent="0.3">
      <c r="A17">
        <v>5615</v>
      </c>
      <c r="B17" t="s">
        <v>8</v>
      </c>
      <c r="C17" s="4">
        <v>45466</v>
      </c>
      <c r="D17" s="4" t="s">
        <v>67</v>
      </c>
      <c r="E17" s="4" t="s">
        <v>67</v>
      </c>
      <c r="F17" s="4"/>
      <c r="G17" s="4"/>
      <c r="H17" t="s">
        <v>105</v>
      </c>
    </row>
    <row r="18" spans="1:8" ht="19.95" customHeight="1" x14ac:dyDescent="0.3">
      <c r="A18">
        <v>5615</v>
      </c>
      <c r="B18" t="s">
        <v>8</v>
      </c>
      <c r="C18" s="4">
        <v>45473</v>
      </c>
      <c r="D18" s="4" t="s">
        <v>67</v>
      </c>
      <c r="E18" s="4" t="s">
        <v>43</v>
      </c>
      <c r="F18" s="4"/>
      <c r="G18" s="4"/>
      <c r="H18" t="s">
        <v>106</v>
      </c>
    </row>
    <row r="19" spans="1:8" ht="19.95" customHeight="1" x14ac:dyDescent="0.3">
      <c r="A19">
        <v>5965</v>
      </c>
      <c r="B19" t="s">
        <v>8</v>
      </c>
      <c r="C19" s="4">
        <v>45053</v>
      </c>
      <c r="D19" s="4" t="s">
        <v>43</v>
      </c>
      <c r="E19" s="4" t="s">
        <v>67</v>
      </c>
      <c r="F19" s="3">
        <v>0.33333333333333331</v>
      </c>
      <c r="G19" s="4"/>
      <c r="H19" t="s">
        <v>107</v>
      </c>
    </row>
    <row r="20" spans="1:8" ht="19.95" customHeight="1" x14ac:dyDescent="0.3">
      <c r="A20">
        <v>5965</v>
      </c>
      <c r="B20" t="s">
        <v>8</v>
      </c>
      <c r="C20" s="4">
        <v>45060</v>
      </c>
      <c r="D20" s="4" t="s">
        <v>67</v>
      </c>
      <c r="E20" s="4" t="s">
        <v>67</v>
      </c>
      <c r="F20" s="4"/>
      <c r="G20" s="4"/>
      <c r="H20" t="s">
        <v>108</v>
      </c>
    </row>
    <row r="21" spans="1:8" ht="19.95" customHeight="1" x14ac:dyDescent="0.3">
      <c r="A21">
        <v>5965</v>
      </c>
      <c r="B21" t="s">
        <v>8</v>
      </c>
      <c r="C21" s="4">
        <v>45067</v>
      </c>
      <c r="D21" s="4" t="s">
        <v>43</v>
      </c>
      <c r="E21" s="4" t="s">
        <v>67</v>
      </c>
      <c r="F21" s="3">
        <v>0.75</v>
      </c>
      <c r="G21" s="4"/>
      <c r="H21" t="s">
        <v>109</v>
      </c>
    </row>
    <row r="22" spans="1:8" ht="19.95" customHeight="1" x14ac:dyDescent="0.3">
      <c r="A22">
        <v>5965</v>
      </c>
      <c r="B22" t="s">
        <v>8</v>
      </c>
      <c r="C22" s="4">
        <v>45074</v>
      </c>
      <c r="D22" s="4" t="s">
        <v>67</v>
      </c>
      <c r="E22" s="4" t="s">
        <v>43</v>
      </c>
      <c r="F22" s="4"/>
      <c r="G22" s="4"/>
      <c r="H22" t="s">
        <v>110</v>
      </c>
    </row>
    <row r="23" spans="1:8" ht="19.95" customHeight="1" x14ac:dyDescent="0.3">
      <c r="A23">
        <v>5965</v>
      </c>
      <c r="B23" t="s">
        <v>8</v>
      </c>
      <c r="C23" s="4">
        <v>45081</v>
      </c>
      <c r="D23" s="4" t="s">
        <v>67</v>
      </c>
      <c r="E23" s="4" t="s">
        <v>43</v>
      </c>
      <c r="F23" s="4"/>
      <c r="G23" s="4"/>
      <c r="H23" t="s">
        <v>111</v>
      </c>
    </row>
    <row r="24" spans="1:8" ht="19.95" customHeight="1" x14ac:dyDescent="0.3">
      <c r="A24">
        <v>5965</v>
      </c>
      <c r="B24" t="s">
        <v>8</v>
      </c>
      <c r="C24" s="4">
        <v>45088</v>
      </c>
      <c r="D24" s="4" t="s">
        <v>43</v>
      </c>
      <c r="E24" s="4" t="s">
        <v>43</v>
      </c>
      <c r="F24" s="3">
        <v>0.66666666666666663</v>
      </c>
      <c r="G24" s="4"/>
      <c r="H24" t="s">
        <v>112</v>
      </c>
    </row>
    <row r="25" spans="1:8" ht="19.95" customHeight="1" x14ac:dyDescent="0.3">
      <c r="A25">
        <v>5965</v>
      </c>
      <c r="B25" t="s">
        <v>8</v>
      </c>
      <c r="C25" s="4">
        <v>45095</v>
      </c>
      <c r="D25" s="4" t="s">
        <v>43</v>
      </c>
      <c r="E25" s="4" t="s">
        <v>43</v>
      </c>
      <c r="F25" s="3">
        <v>0.58333333333333337</v>
      </c>
      <c r="G25" s="4"/>
      <c r="H25" t="s">
        <v>113</v>
      </c>
    </row>
    <row r="26" spans="1:8" ht="19.95" customHeight="1" x14ac:dyDescent="0.3">
      <c r="A26">
        <v>5965</v>
      </c>
      <c r="B26" t="s">
        <v>8</v>
      </c>
      <c r="C26" s="4">
        <v>45102</v>
      </c>
      <c r="D26" s="4" t="s">
        <v>43</v>
      </c>
      <c r="E26" s="4" t="s">
        <v>43</v>
      </c>
      <c r="F26" s="3">
        <v>0.20833333333333334</v>
      </c>
      <c r="G26" s="3">
        <v>0.625</v>
      </c>
      <c r="H26" t="s">
        <v>114</v>
      </c>
    </row>
    <row r="27" spans="1:8" ht="19.95" customHeight="1" x14ac:dyDescent="0.3">
      <c r="A27">
        <v>5557</v>
      </c>
      <c r="B27" t="s">
        <v>8</v>
      </c>
      <c r="C27" s="4">
        <v>45053</v>
      </c>
      <c r="D27" s="4" t="s">
        <v>67</v>
      </c>
      <c r="E27" s="4" t="s">
        <v>67</v>
      </c>
      <c r="F27" s="4"/>
      <c r="G27" s="4"/>
      <c r="H27" t="s">
        <v>115</v>
      </c>
    </row>
    <row r="28" spans="1:8" ht="19.95" customHeight="1" x14ac:dyDescent="0.3">
      <c r="A28">
        <v>5557</v>
      </c>
      <c r="B28" t="s">
        <v>8</v>
      </c>
      <c r="C28" s="4">
        <v>45060</v>
      </c>
      <c r="D28" s="4" t="s">
        <v>67</v>
      </c>
      <c r="E28" s="4" t="s">
        <v>67</v>
      </c>
      <c r="F28" s="4"/>
      <c r="G28" s="4"/>
      <c r="H28" t="s">
        <v>116</v>
      </c>
    </row>
    <row r="29" spans="1:8" ht="19.95" customHeight="1" x14ac:dyDescent="0.3">
      <c r="A29">
        <v>5557</v>
      </c>
      <c r="B29" t="s">
        <v>8</v>
      </c>
      <c r="C29" s="4">
        <v>45067</v>
      </c>
      <c r="D29" s="4" t="s">
        <v>67</v>
      </c>
      <c r="E29" s="4" t="s">
        <v>67</v>
      </c>
      <c r="F29" s="4"/>
      <c r="G29" s="4"/>
      <c r="H29" t="s">
        <v>117</v>
      </c>
    </row>
    <row r="30" spans="1:8" ht="19.95" customHeight="1" x14ac:dyDescent="0.3">
      <c r="A30">
        <v>5557</v>
      </c>
      <c r="B30" t="s">
        <v>8</v>
      </c>
      <c r="C30" s="4">
        <v>45074</v>
      </c>
      <c r="D30" s="4" t="s">
        <v>67</v>
      </c>
      <c r="E30" s="4" t="s">
        <v>43</v>
      </c>
      <c r="F30" s="4"/>
      <c r="G30" s="4"/>
      <c r="H30" t="s">
        <v>118</v>
      </c>
    </row>
    <row r="31" spans="1:8" ht="19.95" customHeight="1" x14ac:dyDescent="0.3">
      <c r="A31">
        <v>5557</v>
      </c>
      <c r="B31" t="s">
        <v>8</v>
      </c>
      <c r="C31" s="4">
        <v>45081</v>
      </c>
      <c r="D31" s="4" t="s">
        <v>67</v>
      </c>
      <c r="E31" s="4" t="s">
        <v>43</v>
      </c>
      <c r="F31" s="4"/>
      <c r="G31" s="4"/>
      <c r="H31" t="s">
        <v>119</v>
      </c>
    </row>
    <row r="32" spans="1:8" ht="19.95" customHeight="1" x14ac:dyDescent="0.3">
      <c r="A32">
        <v>5557</v>
      </c>
      <c r="B32" t="s">
        <v>8</v>
      </c>
      <c r="C32" s="4">
        <v>45088</v>
      </c>
      <c r="D32" s="4" t="s">
        <v>67</v>
      </c>
      <c r="E32" s="4" t="s">
        <v>43</v>
      </c>
      <c r="F32" s="4"/>
      <c r="G32" s="4"/>
      <c r="H32" t="s">
        <v>120</v>
      </c>
    </row>
    <row r="33" spans="1:8" ht="19.95" customHeight="1" x14ac:dyDescent="0.3">
      <c r="A33">
        <v>5557</v>
      </c>
      <c r="B33" t="s">
        <v>8</v>
      </c>
      <c r="C33" s="4">
        <v>45095</v>
      </c>
      <c r="D33" s="4" t="s">
        <v>43</v>
      </c>
      <c r="E33" s="4" t="s">
        <v>67</v>
      </c>
      <c r="F33" s="4" t="s">
        <v>121</v>
      </c>
      <c r="G33" s="4"/>
      <c r="H33" t="s">
        <v>122</v>
      </c>
    </row>
    <row r="34" spans="1:8" ht="19.95" customHeight="1" x14ac:dyDescent="0.3">
      <c r="A34">
        <v>5557</v>
      </c>
      <c r="B34" t="s">
        <v>75</v>
      </c>
      <c r="C34" s="4">
        <v>45102</v>
      </c>
      <c r="D34" s="4" t="s">
        <v>43</v>
      </c>
      <c r="E34" s="4" t="s">
        <v>43</v>
      </c>
      <c r="F34" s="3">
        <v>0.125</v>
      </c>
      <c r="G34" s="3">
        <v>0.79166666666666663</v>
      </c>
      <c r="H34" t="s">
        <v>161</v>
      </c>
    </row>
    <row r="35" spans="1:8" ht="19.95" customHeight="1" x14ac:dyDescent="0.3">
      <c r="A35">
        <v>5579</v>
      </c>
      <c r="B35" t="s">
        <v>8</v>
      </c>
      <c r="C35" s="4">
        <v>45053</v>
      </c>
      <c r="D35" s="4" t="s">
        <v>43</v>
      </c>
      <c r="E35" s="4" t="s">
        <v>67</v>
      </c>
      <c r="F35" s="3">
        <v>0.29166666666666669</v>
      </c>
      <c r="G35" s="3">
        <v>0.83333333333333337</v>
      </c>
      <c r="H35" t="s">
        <v>124</v>
      </c>
    </row>
    <row r="36" spans="1:8" ht="19.95" customHeight="1" x14ac:dyDescent="0.3">
      <c r="A36">
        <v>5579</v>
      </c>
      <c r="B36" t="s">
        <v>8</v>
      </c>
      <c r="C36" s="4">
        <v>45060</v>
      </c>
      <c r="D36" s="4" t="s">
        <v>43</v>
      </c>
      <c r="E36" s="4" t="s">
        <v>43</v>
      </c>
      <c r="F36" s="3">
        <v>0.54166666666666663</v>
      </c>
      <c r="G36" s="3">
        <v>0.70833333333333337</v>
      </c>
      <c r="H36" t="s">
        <v>123</v>
      </c>
    </row>
    <row r="37" spans="1:8" ht="19.95" customHeight="1" x14ac:dyDescent="0.3">
      <c r="A37">
        <v>5579</v>
      </c>
      <c r="B37" t="s">
        <v>8</v>
      </c>
      <c r="C37" s="4">
        <v>45067</v>
      </c>
      <c r="D37" s="4" t="s">
        <v>43</v>
      </c>
      <c r="E37" s="4" t="s">
        <v>67</v>
      </c>
      <c r="F37" s="3">
        <v>0.25</v>
      </c>
      <c r="G37" s="3">
        <v>0.79166666666666663</v>
      </c>
      <c r="H37" t="s">
        <v>125</v>
      </c>
    </row>
    <row r="38" spans="1:8" ht="19.95" customHeight="1" x14ac:dyDescent="0.3">
      <c r="A38">
        <v>5579</v>
      </c>
      <c r="B38" t="s">
        <v>8</v>
      </c>
      <c r="C38" s="4">
        <v>45074</v>
      </c>
      <c r="D38" s="4" t="s">
        <v>43</v>
      </c>
      <c r="E38" s="4" t="s">
        <v>67</v>
      </c>
      <c r="F38" s="3">
        <v>0.83333333333333337</v>
      </c>
      <c r="G38" s="4"/>
      <c r="H38" t="s">
        <v>126</v>
      </c>
    </row>
    <row r="39" spans="1:8" ht="19.95" customHeight="1" x14ac:dyDescent="0.3">
      <c r="A39">
        <v>5579</v>
      </c>
      <c r="B39" t="s">
        <v>8</v>
      </c>
      <c r="C39" s="4">
        <v>45081</v>
      </c>
      <c r="D39" s="4" t="s">
        <v>43</v>
      </c>
      <c r="E39" s="4" t="s">
        <v>67</v>
      </c>
      <c r="F39" s="3">
        <v>0.54166666666666663</v>
      </c>
      <c r="G39" s="4"/>
      <c r="H39" t="s">
        <v>127</v>
      </c>
    </row>
    <row r="40" spans="1:8" ht="19.95" customHeight="1" x14ac:dyDescent="0.3">
      <c r="A40">
        <v>5579</v>
      </c>
      <c r="B40" t="s">
        <v>8</v>
      </c>
      <c r="C40" s="4">
        <v>45088</v>
      </c>
      <c r="D40" s="4" t="s">
        <v>43</v>
      </c>
      <c r="E40" s="4" t="s">
        <v>67</v>
      </c>
      <c r="F40" s="3">
        <v>0.79166666666666663</v>
      </c>
      <c r="G40" s="4"/>
      <c r="H40" t="s">
        <v>128</v>
      </c>
    </row>
    <row r="41" spans="1:8" ht="19.95" customHeight="1" x14ac:dyDescent="0.3">
      <c r="A41">
        <v>5579</v>
      </c>
      <c r="B41" t="s">
        <v>8</v>
      </c>
      <c r="C41" s="4">
        <v>45095</v>
      </c>
      <c r="D41" s="4" t="s">
        <v>43</v>
      </c>
      <c r="E41" s="4" t="s">
        <v>43</v>
      </c>
      <c r="F41" s="3">
        <v>0.5</v>
      </c>
      <c r="G41" s="4"/>
      <c r="H41" t="s">
        <v>129</v>
      </c>
    </row>
    <row r="42" spans="1:8" ht="19.95" customHeight="1" x14ac:dyDescent="0.3">
      <c r="A42">
        <v>5579</v>
      </c>
      <c r="B42" t="s">
        <v>75</v>
      </c>
      <c r="C42" s="4">
        <v>45102</v>
      </c>
      <c r="D42" s="4" t="s">
        <v>43</v>
      </c>
      <c r="E42" s="4" t="s">
        <v>43</v>
      </c>
      <c r="F42" s="3">
        <v>0.58333333333333337</v>
      </c>
      <c r="G42" s="4"/>
      <c r="H42" t="s">
        <v>130</v>
      </c>
    </row>
    <row r="43" spans="1:8" ht="19.95" customHeight="1" x14ac:dyDescent="0.3">
      <c r="A43">
        <v>5654</v>
      </c>
      <c r="B43" t="s">
        <v>8</v>
      </c>
      <c r="C43" s="4">
        <v>45053</v>
      </c>
      <c r="D43" s="4" t="s">
        <v>43</v>
      </c>
      <c r="E43" s="4" t="s">
        <v>67</v>
      </c>
      <c r="F43" s="3">
        <v>0.5</v>
      </c>
      <c r="G43" s="3">
        <v>0.79166666666666663</v>
      </c>
      <c r="H43" t="s">
        <v>131</v>
      </c>
    </row>
    <row r="44" spans="1:8" ht="19.95" customHeight="1" x14ac:dyDescent="0.3">
      <c r="A44">
        <v>5654</v>
      </c>
      <c r="B44" t="s">
        <v>8</v>
      </c>
      <c r="C44" s="4">
        <v>45060</v>
      </c>
      <c r="D44" s="4" t="s">
        <v>43</v>
      </c>
      <c r="E44" s="4" t="s">
        <v>67</v>
      </c>
      <c r="F44" s="3">
        <v>0.33333333333333331</v>
      </c>
      <c r="G44" s="3">
        <v>0.79166666666666663</v>
      </c>
      <c r="H44" t="s">
        <v>132</v>
      </c>
    </row>
    <row r="45" spans="1:8" ht="19.95" customHeight="1" x14ac:dyDescent="0.3">
      <c r="A45">
        <v>5654</v>
      </c>
      <c r="B45" t="s">
        <v>8</v>
      </c>
      <c r="C45" s="4">
        <v>45067</v>
      </c>
      <c r="D45" s="4" t="s">
        <v>43</v>
      </c>
      <c r="E45" s="4" t="s">
        <v>67</v>
      </c>
      <c r="F45" s="3">
        <v>0.29166666666666669</v>
      </c>
      <c r="G45" s="4"/>
      <c r="H45" t="s">
        <v>132</v>
      </c>
    </row>
    <row r="46" spans="1:8" ht="19.95" customHeight="1" x14ac:dyDescent="0.3">
      <c r="A46">
        <v>5654</v>
      </c>
      <c r="B46" t="s">
        <v>8</v>
      </c>
      <c r="C46" s="4">
        <v>45074</v>
      </c>
      <c r="D46" s="4" t="s">
        <v>43</v>
      </c>
      <c r="E46" s="4" t="s">
        <v>67</v>
      </c>
      <c r="F46" s="3">
        <v>0.70833333333333337</v>
      </c>
      <c r="G46" s="4"/>
      <c r="H46" t="s">
        <v>132</v>
      </c>
    </row>
    <row r="47" spans="1:8" ht="19.95" customHeight="1" x14ac:dyDescent="0.3">
      <c r="A47">
        <v>5654</v>
      </c>
      <c r="B47" t="s">
        <v>8</v>
      </c>
      <c r="C47" s="4">
        <v>45081</v>
      </c>
      <c r="D47" s="4" t="s">
        <v>43</v>
      </c>
      <c r="E47" s="4" t="s">
        <v>43</v>
      </c>
      <c r="F47" s="3">
        <v>0.29166666666666669</v>
      </c>
      <c r="G47" s="4"/>
      <c r="H47" t="s">
        <v>133</v>
      </c>
    </row>
    <row r="48" spans="1:8" ht="19.95" customHeight="1" x14ac:dyDescent="0.3">
      <c r="A48">
        <v>5654</v>
      </c>
      <c r="B48" t="s">
        <v>8</v>
      </c>
      <c r="C48" s="4">
        <v>45088</v>
      </c>
      <c r="D48" s="4" t="s">
        <v>43</v>
      </c>
      <c r="E48" s="4" t="s">
        <v>43</v>
      </c>
      <c r="F48" s="3">
        <v>0.20833333333333334</v>
      </c>
      <c r="G48" s="3">
        <v>0.54166666666666663</v>
      </c>
      <c r="H48" t="s">
        <v>134</v>
      </c>
    </row>
    <row r="49" spans="1:8" ht="19.95" customHeight="1" x14ac:dyDescent="0.3">
      <c r="A49">
        <v>5654</v>
      </c>
      <c r="B49" t="s">
        <v>8</v>
      </c>
      <c r="C49" s="4">
        <v>45095</v>
      </c>
      <c r="D49" s="4" t="s">
        <v>43</v>
      </c>
      <c r="E49" s="4" t="s">
        <v>43</v>
      </c>
      <c r="F49" s="3">
        <v>0.83333333333333337</v>
      </c>
      <c r="G49" s="4"/>
      <c r="H49" t="s">
        <v>135</v>
      </c>
    </row>
    <row r="50" spans="1:8" ht="19.95" customHeight="1" x14ac:dyDescent="0.3">
      <c r="A50">
        <v>5654</v>
      </c>
      <c r="B50" t="s">
        <v>75</v>
      </c>
      <c r="C50" s="4">
        <v>45102</v>
      </c>
      <c r="D50" s="4" t="s">
        <v>43</v>
      </c>
      <c r="E50" s="4" t="s">
        <v>43</v>
      </c>
      <c r="F50" s="3">
        <v>0.29166666666666669</v>
      </c>
      <c r="G50" s="3">
        <v>0.66666666666666663</v>
      </c>
      <c r="H50" t="s">
        <v>136</v>
      </c>
    </row>
    <row r="51" spans="1:8" ht="19.95" customHeight="1" x14ac:dyDescent="0.3">
      <c r="A51">
        <v>5998</v>
      </c>
      <c r="B51" t="s">
        <v>8</v>
      </c>
      <c r="C51" s="4">
        <v>44682</v>
      </c>
      <c r="D51" s="4" t="s">
        <v>67</v>
      </c>
      <c r="E51" s="4" t="s">
        <v>43</v>
      </c>
      <c r="F51" s="4"/>
      <c r="G51" s="4"/>
      <c r="H51" t="s">
        <v>137</v>
      </c>
    </row>
    <row r="52" spans="1:8" ht="19.95" customHeight="1" x14ac:dyDescent="0.3">
      <c r="A52">
        <v>5998</v>
      </c>
      <c r="B52" t="s">
        <v>8</v>
      </c>
      <c r="C52" s="4">
        <v>44689</v>
      </c>
      <c r="D52" s="4" t="s">
        <v>67</v>
      </c>
      <c r="E52" s="4" t="s">
        <v>43</v>
      </c>
      <c r="F52" s="4"/>
      <c r="G52" s="4"/>
      <c r="H52" t="s">
        <v>137</v>
      </c>
    </row>
    <row r="53" spans="1:8" ht="19.95" customHeight="1" x14ac:dyDescent="0.3">
      <c r="A53">
        <v>5998</v>
      </c>
      <c r="B53" t="s">
        <v>8</v>
      </c>
      <c r="C53" s="4">
        <v>44696</v>
      </c>
      <c r="D53" s="4" t="s">
        <v>67</v>
      </c>
      <c r="E53" s="4" t="s">
        <v>43</v>
      </c>
      <c r="F53" s="4"/>
      <c r="G53" s="4"/>
      <c r="H53" t="s">
        <v>137</v>
      </c>
    </row>
    <row r="54" spans="1:8" ht="19.95" customHeight="1" x14ac:dyDescent="0.3">
      <c r="A54">
        <v>5998</v>
      </c>
      <c r="B54" t="s">
        <v>8</v>
      </c>
      <c r="C54" s="4">
        <v>44703</v>
      </c>
      <c r="D54" s="4" t="s">
        <v>67</v>
      </c>
      <c r="E54" s="4" t="s">
        <v>67</v>
      </c>
      <c r="F54" s="4"/>
      <c r="G54" s="4"/>
      <c r="H54" t="s">
        <v>138</v>
      </c>
    </row>
    <row r="55" spans="1:8" ht="19.95" customHeight="1" x14ac:dyDescent="0.3">
      <c r="A55">
        <v>5998</v>
      </c>
      <c r="B55" t="s">
        <v>8</v>
      </c>
      <c r="C55" s="4">
        <v>44710</v>
      </c>
      <c r="D55" s="4" t="s">
        <v>67</v>
      </c>
      <c r="E55" s="4" t="s">
        <v>67</v>
      </c>
      <c r="F55" s="4"/>
      <c r="G55" s="4"/>
      <c r="H55" t="s">
        <v>139</v>
      </c>
    </row>
    <row r="56" spans="1:8" ht="19.95" customHeight="1" x14ac:dyDescent="0.3">
      <c r="A56">
        <v>5998</v>
      </c>
      <c r="B56" t="s">
        <v>8</v>
      </c>
      <c r="C56" s="4">
        <v>44717</v>
      </c>
      <c r="D56" s="4" t="s">
        <v>67</v>
      </c>
      <c r="E56" s="4" t="s">
        <v>67</v>
      </c>
      <c r="F56" s="4"/>
      <c r="G56" s="4"/>
      <c r="H56" t="s">
        <v>108</v>
      </c>
    </row>
    <row r="57" spans="1:8" ht="19.95" customHeight="1" x14ac:dyDescent="0.3">
      <c r="A57">
        <v>5998</v>
      </c>
      <c r="B57" t="s">
        <v>8</v>
      </c>
      <c r="C57" s="4">
        <v>44724</v>
      </c>
      <c r="D57" s="4" t="s">
        <v>43</v>
      </c>
      <c r="E57" s="4" t="s">
        <v>43</v>
      </c>
      <c r="F57" s="3">
        <v>0.70833333333333337</v>
      </c>
      <c r="G57" s="4"/>
      <c r="H57" t="s">
        <v>140</v>
      </c>
    </row>
    <row r="58" spans="1:8" ht="19.95" customHeight="1" x14ac:dyDescent="0.3">
      <c r="A58">
        <v>5998</v>
      </c>
      <c r="B58" t="s">
        <v>8</v>
      </c>
      <c r="C58" s="4">
        <v>44731</v>
      </c>
      <c r="D58" s="4" t="s">
        <v>43</v>
      </c>
      <c r="E58" s="4" t="s">
        <v>43</v>
      </c>
      <c r="F58" s="3">
        <v>0.54166666666666663</v>
      </c>
      <c r="G58" s="4"/>
      <c r="H58" t="s">
        <v>140</v>
      </c>
    </row>
    <row r="59" spans="1:8" ht="19.95" customHeight="1" x14ac:dyDescent="0.3">
      <c r="A59">
        <v>5998</v>
      </c>
      <c r="B59" t="s">
        <v>75</v>
      </c>
      <c r="C59" s="4">
        <v>44738</v>
      </c>
      <c r="D59" s="4" t="s">
        <v>43</v>
      </c>
      <c r="E59" s="4" t="s">
        <v>67</v>
      </c>
      <c r="F59" s="3">
        <v>0.79166666666666663</v>
      </c>
      <c r="G59" s="4"/>
      <c r="H59" t="s">
        <v>141</v>
      </c>
    </row>
    <row r="60" spans="1:8" ht="19.95" customHeight="1" x14ac:dyDescent="0.3">
      <c r="A60">
        <v>5491</v>
      </c>
      <c r="B60" t="s">
        <v>8</v>
      </c>
      <c r="C60" s="4">
        <v>43590</v>
      </c>
      <c r="D60" s="4" t="s">
        <v>51</v>
      </c>
      <c r="E60" s="4" t="s">
        <v>51</v>
      </c>
      <c r="F60" s="4"/>
      <c r="G60" s="4"/>
      <c r="H60" t="s">
        <v>88</v>
      </c>
    </row>
    <row r="61" spans="1:8" ht="19.95" customHeight="1" x14ac:dyDescent="0.3">
      <c r="A61">
        <v>5491</v>
      </c>
      <c r="B61" t="s">
        <v>8</v>
      </c>
      <c r="C61" s="4">
        <v>43597</v>
      </c>
      <c r="D61" s="4" t="s">
        <v>51</v>
      </c>
      <c r="E61" s="4" t="s">
        <v>51</v>
      </c>
      <c r="F61" s="4"/>
      <c r="G61" s="4"/>
      <c r="H61" t="s">
        <v>88</v>
      </c>
    </row>
    <row r="62" spans="1:8" ht="19.95" customHeight="1" x14ac:dyDescent="0.3">
      <c r="A62">
        <v>5491</v>
      </c>
      <c r="B62" t="s">
        <v>8</v>
      </c>
      <c r="C62" s="4">
        <v>43604</v>
      </c>
      <c r="D62" s="4" t="s">
        <v>51</v>
      </c>
      <c r="E62" s="4" t="s">
        <v>51</v>
      </c>
      <c r="F62" s="4"/>
      <c r="G62" s="4"/>
      <c r="H62" t="s">
        <v>142</v>
      </c>
    </row>
    <row r="63" spans="1:8" ht="19.95" customHeight="1" x14ac:dyDescent="0.3">
      <c r="A63">
        <v>5491</v>
      </c>
      <c r="B63" t="s">
        <v>8</v>
      </c>
      <c r="C63" s="4">
        <v>43611</v>
      </c>
      <c r="D63" s="4" t="s">
        <v>43</v>
      </c>
      <c r="E63" s="4" t="s">
        <v>67</v>
      </c>
      <c r="F63" s="3">
        <v>0.375</v>
      </c>
      <c r="G63" s="4"/>
      <c r="H63" t="s">
        <v>143</v>
      </c>
    </row>
    <row r="64" spans="1:8" ht="19.95" customHeight="1" x14ac:dyDescent="0.3">
      <c r="A64">
        <v>5491</v>
      </c>
      <c r="B64" t="s">
        <v>8</v>
      </c>
      <c r="C64" s="4">
        <v>43618</v>
      </c>
      <c r="D64" s="4" t="s">
        <v>43</v>
      </c>
      <c r="E64" s="4" t="s">
        <v>43</v>
      </c>
      <c r="F64" s="3">
        <v>0.25</v>
      </c>
      <c r="G64" s="4"/>
      <c r="H64" t="s">
        <v>144</v>
      </c>
    </row>
    <row r="65" spans="1:8" ht="19.95" customHeight="1" x14ac:dyDescent="0.3">
      <c r="A65">
        <v>5491</v>
      </c>
      <c r="B65" t="s">
        <v>75</v>
      </c>
      <c r="C65" s="4">
        <v>43625</v>
      </c>
      <c r="D65" s="4" t="s">
        <v>43</v>
      </c>
      <c r="E65" s="4" t="s">
        <v>43</v>
      </c>
      <c r="F65" s="3">
        <v>0.375</v>
      </c>
      <c r="G65" s="4"/>
      <c r="H65" t="s">
        <v>145</v>
      </c>
    </row>
    <row r="66" spans="1:8" ht="19.95" customHeight="1" x14ac:dyDescent="0.3">
      <c r="A66">
        <v>5491</v>
      </c>
      <c r="B66" t="s">
        <v>8</v>
      </c>
      <c r="C66" s="4">
        <v>43632</v>
      </c>
      <c r="D66" s="4" t="s">
        <v>43</v>
      </c>
      <c r="E66" s="4" t="s">
        <v>43</v>
      </c>
      <c r="F66" s="3">
        <v>0.47916666666666669</v>
      </c>
      <c r="G66" s="4"/>
      <c r="H66" t="s">
        <v>146</v>
      </c>
    </row>
    <row r="67" spans="1:8" ht="19.95" customHeight="1" x14ac:dyDescent="0.3">
      <c r="A67">
        <v>5491</v>
      </c>
      <c r="B67" t="s">
        <v>8</v>
      </c>
      <c r="C67" s="4">
        <v>43639</v>
      </c>
      <c r="D67" s="4" t="s">
        <v>43</v>
      </c>
      <c r="E67" s="4" t="s">
        <v>43</v>
      </c>
      <c r="F67" s="3">
        <v>0.20833333333333334</v>
      </c>
      <c r="G67" s="4"/>
      <c r="H67" t="s">
        <v>147</v>
      </c>
    </row>
    <row r="68" spans="1:8" ht="19.95" customHeight="1" x14ac:dyDescent="0.3">
      <c r="A68">
        <v>5491</v>
      </c>
      <c r="B68" t="s">
        <v>8</v>
      </c>
      <c r="C68" s="4">
        <v>43646</v>
      </c>
      <c r="D68" s="4" t="s">
        <v>43</v>
      </c>
      <c r="E68" s="4" t="s">
        <v>43</v>
      </c>
      <c r="F68" s="3">
        <v>0.58333333333333337</v>
      </c>
      <c r="G68" s="3">
        <v>0.83333333333333337</v>
      </c>
      <c r="H68" t="s">
        <v>148</v>
      </c>
    </row>
    <row r="69" spans="1:8" ht="19.95" customHeight="1" x14ac:dyDescent="0.3">
      <c r="A69">
        <v>5433</v>
      </c>
      <c r="B69" t="s">
        <v>8</v>
      </c>
      <c r="C69" s="4">
        <v>43590</v>
      </c>
      <c r="D69" s="4" t="s">
        <v>51</v>
      </c>
      <c r="E69" s="4" t="s">
        <v>51</v>
      </c>
      <c r="F69" s="4"/>
      <c r="G69" s="4"/>
      <c r="H69" t="s">
        <v>142</v>
      </c>
    </row>
    <row r="70" spans="1:8" ht="19.95" customHeight="1" x14ac:dyDescent="0.3">
      <c r="A70">
        <v>5433</v>
      </c>
      <c r="B70" t="s">
        <v>8</v>
      </c>
      <c r="C70" s="4">
        <v>43597</v>
      </c>
      <c r="D70" s="4" t="s">
        <v>51</v>
      </c>
      <c r="E70" s="4" t="s">
        <v>51</v>
      </c>
      <c r="F70" s="4"/>
      <c r="G70" s="4"/>
      <c r="H70" t="s">
        <v>142</v>
      </c>
    </row>
    <row r="71" spans="1:8" ht="19.95" customHeight="1" x14ac:dyDescent="0.3">
      <c r="A71">
        <v>5433</v>
      </c>
      <c r="B71" t="s">
        <v>8</v>
      </c>
      <c r="C71" s="4">
        <v>43604</v>
      </c>
      <c r="D71" s="4" t="s">
        <v>51</v>
      </c>
      <c r="E71" s="4" t="s">
        <v>51</v>
      </c>
      <c r="F71" s="4"/>
      <c r="G71" s="4"/>
      <c r="H71" t="s">
        <v>142</v>
      </c>
    </row>
    <row r="72" spans="1:8" ht="19.95" customHeight="1" x14ac:dyDescent="0.3">
      <c r="A72">
        <v>5433</v>
      </c>
      <c r="B72" t="s">
        <v>8</v>
      </c>
      <c r="C72" s="4">
        <v>43611</v>
      </c>
      <c r="D72" s="4" t="s">
        <v>43</v>
      </c>
      <c r="E72" s="4" t="s">
        <v>67</v>
      </c>
      <c r="F72" s="3">
        <v>0.5</v>
      </c>
      <c r="G72" s="4"/>
      <c r="H72" t="s">
        <v>149</v>
      </c>
    </row>
    <row r="73" spans="1:8" ht="19.95" customHeight="1" x14ac:dyDescent="0.3">
      <c r="A73">
        <v>5433</v>
      </c>
      <c r="B73" t="s">
        <v>75</v>
      </c>
      <c r="C73" s="4">
        <v>43618</v>
      </c>
      <c r="D73" s="4" t="s">
        <v>43</v>
      </c>
      <c r="E73" s="4" t="s">
        <v>67</v>
      </c>
      <c r="F73" s="3">
        <v>0.29166666666666669</v>
      </c>
      <c r="G73" s="4"/>
      <c r="H73" t="s">
        <v>149</v>
      </c>
    </row>
    <row r="74" spans="1:8" ht="19.95" customHeight="1" x14ac:dyDescent="0.3">
      <c r="A74">
        <v>5433</v>
      </c>
      <c r="B74" t="s">
        <v>8</v>
      </c>
      <c r="C74" s="4">
        <v>43625</v>
      </c>
      <c r="D74" s="4" t="s">
        <v>67</v>
      </c>
      <c r="E74" s="4" t="s">
        <v>43</v>
      </c>
      <c r="F74" s="4"/>
      <c r="G74" s="4"/>
      <c r="H74" t="s">
        <v>151</v>
      </c>
    </row>
    <row r="75" spans="1:8" ht="19.95" customHeight="1" x14ac:dyDescent="0.3">
      <c r="A75">
        <v>5433</v>
      </c>
      <c r="B75" t="s">
        <v>8</v>
      </c>
      <c r="C75" s="4">
        <v>43632</v>
      </c>
      <c r="D75" s="4" t="s">
        <v>43</v>
      </c>
      <c r="E75" s="4" t="s">
        <v>43</v>
      </c>
      <c r="F75" s="3">
        <v>0.22916666666666666</v>
      </c>
      <c r="G75" s="4"/>
      <c r="H75" t="s">
        <v>152</v>
      </c>
    </row>
    <row r="76" spans="1:8" ht="19.95" customHeight="1" x14ac:dyDescent="0.3">
      <c r="A76">
        <v>5433</v>
      </c>
      <c r="B76" t="s">
        <v>8</v>
      </c>
      <c r="C76" s="4">
        <v>43639</v>
      </c>
      <c r="D76" s="4" t="s">
        <v>43</v>
      </c>
      <c r="E76" s="4" t="s">
        <v>43</v>
      </c>
      <c r="F76" s="3">
        <v>0.75</v>
      </c>
      <c r="G76" s="3">
        <v>0.83333333333333337</v>
      </c>
      <c r="H76" t="s">
        <v>153</v>
      </c>
    </row>
    <row r="77" spans="1:8" ht="19.95" customHeight="1" x14ac:dyDescent="0.3">
      <c r="A77">
        <v>5433</v>
      </c>
      <c r="B77" t="s">
        <v>8</v>
      </c>
      <c r="C77" s="4">
        <v>43646</v>
      </c>
      <c r="D77" s="4" t="s">
        <v>43</v>
      </c>
      <c r="E77" s="4" t="s">
        <v>43</v>
      </c>
      <c r="F77" s="3">
        <v>0.20833333333333334</v>
      </c>
      <c r="G77" s="3">
        <v>0.45833333333333331</v>
      </c>
      <c r="H77" t="s">
        <v>154</v>
      </c>
    </row>
    <row r="78" spans="1:8" ht="19.95" customHeight="1" x14ac:dyDescent="0.3">
      <c r="A78">
        <v>5693</v>
      </c>
      <c r="B78" t="s">
        <v>8</v>
      </c>
      <c r="C78" s="4">
        <v>43226</v>
      </c>
      <c r="D78" s="4" t="s">
        <v>51</v>
      </c>
      <c r="E78" s="4" t="s">
        <v>51</v>
      </c>
      <c r="F78" s="4"/>
      <c r="G78" s="4"/>
      <c r="H78" t="s">
        <v>142</v>
      </c>
    </row>
    <row r="79" spans="1:8" ht="19.95" customHeight="1" x14ac:dyDescent="0.3">
      <c r="A79">
        <v>5693</v>
      </c>
      <c r="B79" t="s">
        <v>8</v>
      </c>
      <c r="C79" s="4">
        <v>43233</v>
      </c>
      <c r="D79" s="4" t="s">
        <v>51</v>
      </c>
      <c r="E79" s="4" t="s">
        <v>51</v>
      </c>
      <c r="F79" s="4"/>
      <c r="G79" s="4"/>
      <c r="H79" t="s">
        <v>142</v>
      </c>
    </row>
    <row r="80" spans="1:8" ht="19.95" customHeight="1" x14ac:dyDescent="0.3">
      <c r="A80">
        <v>5693</v>
      </c>
      <c r="B80" t="s">
        <v>8</v>
      </c>
      <c r="C80" s="4">
        <v>43240</v>
      </c>
      <c r="D80" s="4" t="s">
        <v>51</v>
      </c>
      <c r="E80" s="4" t="s">
        <v>51</v>
      </c>
      <c r="F80" s="4"/>
      <c r="G80" s="4"/>
      <c r="H80" t="s">
        <v>88</v>
      </c>
    </row>
    <row r="81" spans="1:8" ht="19.95" customHeight="1" x14ac:dyDescent="0.3">
      <c r="A81">
        <v>5693</v>
      </c>
      <c r="B81" t="s">
        <v>8</v>
      </c>
      <c r="C81" s="4">
        <v>43247</v>
      </c>
      <c r="D81" s="4" t="s">
        <v>51</v>
      </c>
      <c r="E81" s="4" t="s">
        <v>51</v>
      </c>
      <c r="F81" s="4"/>
      <c r="G81" s="4"/>
      <c r="H81" t="s">
        <v>142</v>
      </c>
    </row>
    <row r="82" spans="1:8" ht="19.95" customHeight="1" x14ac:dyDescent="0.3">
      <c r="A82">
        <v>5693</v>
      </c>
      <c r="B82" t="s">
        <v>75</v>
      </c>
      <c r="C82" s="4">
        <v>43254</v>
      </c>
      <c r="D82" s="4" t="s">
        <v>67</v>
      </c>
      <c r="E82" s="4" t="s">
        <v>67</v>
      </c>
      <c r="F82" s="4"/>
      <c r="G82" s="4"/>
      <c r="H82" t="s">
        <v>155</v>
      </c>
    </row>
    <row r="83" spans="1:8" ht="19.95" customHeight="1" x14ac:dyDescent="0.3">
      <c r="A83">
        <v>5693</v>
      </c>
      <c r="B83" t="s">
        <v>8</v>
      </c>
      <c r="C83" s="4">
        <v>43261</v>
      </c>
      <c r="D83" s="4" t="s">
        <v>67</v>
      </c>
      <c r="E83" s="4" t="s">
        <v>43</v>
      </c>
      <c r="F83" s="4"/>
      <c r="G83" s="4"/>
      <c r="H83" t="s">
        <v>156</v>
      </c>
    </row>
    <row r="84" spans="1:8" ht="19.95" customHeight="1" x14ac:dyDescent="0.3">
      <c r="A84">
        <v>5693</v>
      </c>
      <c r="B84" t="s">
        <v>8</v>
      </c>
      <c r="C84" s="4">
        <v>43268</v>
      </c>
      <c r="D84" s="4" t="s">
        <v>43</v>
      </c>
      <c r="E84" s="4" t="s">
        <v>67</v>
      </c>
      <c r="F84" s="3">
        <v>0.29166666666666669</v>
      </c>
      <c r="G84" s="3">
        <v>0.375</v>
      </c>
      <c r="H84" t="s">
        <v>157</v>
      </c>
    </row>
    <row r="85" spans="1:8" ht="19.95" customHeight="1" x14ac:dyDescent="0.3">
      <c r="A85">
        <v>5693</v>
      </c>
      <c r="B85" t="s">
        <v>8</v>
      </c>
      <c r="C85" s="4">
        <v>43275</v>
      </c>
      <c r="D85" s="4" t="s">
        <v>43</v>
      </c>
      <c r="E85" s="4" t="s">
        <v>67</v>
      </c>
      <c r="F85" s="3">
        <v>0.625</v>
      </c>
      <c r="G85" s="4"/>
      <c r="H85" t="s">
        <v>158</v>
      </c>
    </row>
    <row r="86" spans="1:8" ht="19.95" customHeight="1" x14ac:dyDescent="0.3">
      <c r="A86">
        <v>5693</v>
      </c>
      <c r="B86" t="s">
        <v>75</v>
      </c>
      <c r="C86" s="4">
        <v>43282</v>
      </c>
      <c r="D86" s="4" t="s">
        <v>43</v>
      </c>
      <c r="E86" s="4" t="s">
        <v>67</v>
      </c>
      <c r="F86" s="3">
        <v>0.45833333333333331</v>
      </c>
      <c r="G86" s="4"/>
      <c r="H86" t="s">
        <v>159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680A-4662-400A-B2A0-5E5E3E4B2B23}">
  <dimension ref="A1:I13"/>
  <sheetViews>
    <sheetView workbookViewId="0">
      <selection activeCell="J9" sqref="J9"/>
    </sheetView>
  </sheetViews>
  <sheetFormatPr defaultRowHeight="14.4" x14ac:dyDescent="0.3"/>
  <cols>
    <col min="1" max="5" width="25.77734375" customWidth="1"/>
  </cols>
  <sheetData>
    <row r="1" spans="1:9" ht="25.05" customHeight="1" thickBot="1" x14ac:dyDescent="0.35">
      <c r="A1" s="10" t="s">
        <v>26</v>
      </c>
      <c r="B1" s="11" t="s">
        <v>162</v>
      </c>
      <c r="C1" s="11" t="s">
        <v>163</v>
      </c>
      <c r="D1" s="11" t="s">
        <v>164</v>
      </c>
      <c r="E1" s="11" t="s">
        <v>165</v>
      </c>
      <c r="F1" s="11" t="s">
        <v>166</v>
      </c>
      <c r="G1" s="11" t="s">
        <v>167</v>
      </c>
      <c r="H1" s="11" t="s">
        <v>168</v>
      </c>
      <c r="I1" s="12" t="s">
        <v>169</v>
      </c>
    </row>
    <row r="2" spans="1:9" ht="25.05" customHeight="1" thickBot="1" x14ac:dyDescent="0.35">
      <c r="A2" s="8">
        <v>7090</v>
      </c>
      <c r="B2" s="6" t="s">
        <v>170</v>
      </c>
      <c r="C2" s="6" t="s">
        <v>171</v>
      </c>
      <c r="D2" s="7">
        <v>5</v>
      </c>
      <c r="E2" s="6" t="s">
        <v>172</v>
      </c>
      <c r="F2" s="7">
        <v>66</v>
      </c>
      <c r="G2" s="7">
        <v>27</v>
      </c>
      <c r="H2" s="7">
        <v>13</v>
      </c>
      <c r="I2" s="9">
        <v>2</v>
      </c>
    </row>
    <row r="3" spans="1:9" ht="25.05" customHeight="1" thickBot="1" x14ac:dyDescent="0.35">
      <c r="A3" s="8">
        <v>5615</v>
      </c>
      <c r="B3" s="6" t="s">
        <v>170</v>
      </c>
      <c r="C3" s="6" t="s">
        <v>173</v>
      </c>
      <c r="D3" s="7">
        <v>5</v>
      </c>
      <c r="E3" s="6" t="s">
        <v>172</v>
      </c>
      <c r="F3" s="7">
        <v>67</v>
      </c>
      <c r="G3" s="7">
        <v>26</v>
      </c>
      <c r="H3" s="7">
        <v>1</v>
      </c>
      <c r="I3" s="9">
        <v>2</v>
      </c>
    </row>
    <row r="4" spans="1:9" ht="25.05" customHeight="1" thickBot="1" x14ac:dyDescent="0.35">
      <c r="A4" s="8">
        <v>5965</v>
      </c>
      <c r="B4" s="6" t="s">
        <v>174</v>
      </c>
      <c r="C4" s="6" t="s">
        <v>175</v>
      </c>
      <c r="D4" s="7">
        <v>6</v>
      </c>
      <c r="E4" s="6" t="s">
        <v>172</v>
      </c>
      <c r="F4" s="7">
        <v>80</v>
      </c>
      <c r="G4" s="7">
        <v>13</v>
      </c>
      <c r="H4" s="7">
        <v>24</v>
      </c>
      <c r="I4" s="9">
        <v>2</v>
      </c>
    </row>
    <row r="5" spans="1:9" ht="25.05" customHeight="1" thickBot="1" x14ac:dyDescent="0.35">
      <c r="A5" s="8">
        <v>5557</v>
      </c>
      <c r="B5" s="6" t="s">
        <v>170</v>
      </c>
      <c r="C5" s="6" t="s">
        <v>176</v>
      </c>
      <c r="D5" s="7">
        <v>5</v>
      </c>
      <c r="E5" s="6" t="s">
        <v>172</v>
      </c>
      <c r="F5" s="7">
        <v>66</v>
      </c>
      <c r="G5" s="7">
        <v>27</v>
      </c>
      <c r="H5" s="7">
        <v>4</v>
      </c>
      <c r="I5" s="9">
        <v>1</v>
      </c>
    </row>
    <row r="6" spans="1:9" ht="25.05" customHeight="1" thickBot="1" x14ac:dyDescent="0.35">
      <c r="A6" s="8">
        <v>5557</v>
      </c>
      <c r="B6" s="6" t="s">
        <v>174</v>
      </c>
      <c r="C6" s="6" t="s">
        <v>177</v>
      </c>
      <c r="D6" s="7">
        <v>6</v>
      </c>
      <c r="E6" s="6" t="s">
        <v>172</v>
      </c>
      <c r="F6" s="7">
        <v>80</v>
      </c>
      <c r="G6" s="7">
        <v>13</v>
      </c>
      <c r="H6" s="7">
        <v>7</v>
      </c>
      <c r="I6" s="9">
        <v>1</v>
      </c>
    </row>
    <row r="7" spans="1:9" ht="25.05" customHeight="1" thickBot="1" x14ac:dyDescent="0.35">
      <c r="A7" s="8">
        <v>5579</v>
      </c>
      <c r="B7" s="6" t="s">
        <v>178</v>
      </c>
      <c r="C7" s="6" t="s">
        <v>179</v>
      </c>
      <c r="D7" s="7">
        <v>1</v>
      </c>
      <c r="E7" s="6" t="s">
        <v>180</v>
      </c>
      <c r="F7" s="7">
        <v>13</v>
      </c>
      <c r="G7" s="7">
        <v>80</v>
      </c>
      <c r="H7" s="7">
        <v>4</v>
      </c>
      <c r="I7" s="9">
        <v>20</v>
      </c>
    </row>
    <row r="8" spans="1:9" ht="25.05" customHeight="1" thickBot="1" x14ac:dyDescent="0.35">
      <c r="A8" s="8">
        <v>5654</v>
      </c>
      <c r="B8" s="6" t="s">
        <v>170</v>
      </c>
      <c r="C8" s="6" t="s">
        <v>181</v>
      </c>
      <c r="D8" s="7">
        <v>5</v>
      </c>
      <c r="E8" s="6" t="s">
        <v>172</v>
      </c>
      <c r="F8" s="7">
        <v>66</v>
      </c>
      <c r="G8" s="7">
        <v>27</v>
      </c>
      <c r="H8" s="7">
        <v>13</v>
      </c>
      <c r="I8" s="9">
        <v>3</v>
      </c>
    </row>
    <row r="9" spans="1:9" ht="25.05" customHeight="1" thickBot="1" x14ac:dyDescent="0.35">
      <c r="A9" s="8">
        <v>5998</v>
      </c>
      <c r="B9" s="6" t="s">
        <v>33</v>
      </c>
      <c r="C9" s="6" t="s">
        <v>182</v>
      </c>
      <c r="D9" s="7">
        <v>6</v>
      </c>
      <c r="E9" s="6" t="s">
        <v>172</v>
      </c>
      <c r="F9" s="7">
        <v>79</v>
      </c>
      <c r="G9" s="7">
        <v>14</v>
      </c>
      <c r="H9" s="7">
        <v>7</v>
      </c>
      <c r="I9" s="9">
        <v>0</v>
      </c>
    </row>
    <row r="10" spans="1:9" ht="25.05" customHeight="1" thickBot="1" x14ac:dyDescent="0.35">
      <c r="A10" s="8">
        <v>5491</v>
      </c>
      <c r="B10" s="6" t="s">
        <v>170</v>
      </c>
      <c r="C10" s="6" t="s">
        <v>183</v>
      </c>
      <c r="D10" s="7">
        <v>5</v>
      </c>
      <c r="E10" s="6" t="s">
        <v>172</v>
      </c>
      <c r="F10" s="7">
        <v>67</v>
      </c>
      <c r="G10" s="7">
        <v>26</v>
      </c>
      <c r="H10" s="7">
        <v>10</v>
      </c>
      <c r="I10" s="9">
        <v>3</v>
      </c>
    </row>
    <row r="11" spans="1:9" ht="25.05" customHeight="1" thickBot="1" x14ac:dyDescent="0.35">
      <c r="A11" s="8">
        <v>5491</v>
      </c>
      <c r="B11" s="6" t="s">
        <v>184</v>
      </c>
      <c r="C11" s="6" t="s">
        <v>185</v>
      </c>
      <c r="D11" s="7">
        <v>3</v>
      </c>
      <c r="E11" s="6" t="s">
        <v>186</v>
      </c>
      <c r="F11" s="7">
        <v>40</v>
      </c>
      <c r="G11" s="7">
        <v>53</v>
      </c>
      <c r="H11" s="7">
        <v>1</v>
      </c>
      <c r="I11" s="9">
        <v>3</v>
      </c>
    </row>
    <row r="12" spans="1:9" ht="25.05" customHeight="1" thickBot="1" x14ac:dyDescent="0.35">
      <c r="A12" s="8">
        <v>5433</v>
      </c>
      <c r="B12" s="6" t="s">
        <v>170</v>
      </c>
      <c r="C12" s="6" t="s">
        <v>187</v>
      </c>
      <c r="D12" s="7">
        <v>5</v>
      </c>
      <c r="E12" s="6" t="s">
        <v>172</v>
      </c>
      <c r="F12" s="7">
        <v>67</v>
      </c>
      <c r="G12" s="7">
        <v>26</v>
      </c>
      <c r="H12" s="7">
        <v>21</v>
      </c>
      <c r="I12" s="9">
        <v>5</v>
      </c>
    </row>
    <row r="13" spans="1:9" ht="25.05" customHeight="1" x14ac:dyDescent="0.3">
      <c r="A13" s="13">
        <v>5693</v>
      </c>
      <c r="B13" s="14" t="s">
        <v>170</v>
      </c>
      <c r="C13" s="14" t="s">
        <v>188</v>
      </c>
      <c r="D13" s="15">
        <v>5</v>
      </c>
      <c r="E13" s="14" t="s">
        <v>172</v>
      </c>
      <c r="F13" s="15">
        <v>67</v>
      </c>
      <c r="G13" s="15">
        <v>26</v>
      </c>
      <c r="H13" s="15">
        <v>9</v>
      </c>
      <c r="I13" s="1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Markets</vt:lpstr>
      <vt:lpstr>Visits</vt:lpstr>
      <vt:lpstr>Individuals</vt:lpstr>
      <vt:lpstr>Sunday_activities</vt:lpstr>
      <vt:lpstr>gull_market_count_analyse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Eefje de Groot</dc:creator>
  <cp:lastModifiedBy>Eefje de Groot</cp:lastModifiedBy>
  <cp:lastPrinted>2026-05-18T10:54:25Z</cp:lastPrinted>
  <dcterms:created xsi:type="dcterms:W3CDTF">2026-04-14T13:44:41Z</dcterms:created>
  <dcterms:modified xsi:type="dcterms:W3CDTF">2026-06-12T13:30:22Z</dcterms:modified>
</cp:coreProperties>
</file>